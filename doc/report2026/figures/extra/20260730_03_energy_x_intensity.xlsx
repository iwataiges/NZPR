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cuments/work/github/NZPR/doc/report2026/figures/extra/"/>
    </mc:Choice>
  </mc:AlternateContent>
  <xr:revisionPtr revIDLastSave="0" documentId="13_ncr:1_{B1388670-07E0-E746-A468-160BBC385D94}" xr6:coauthVersionLast="47" xr6:coauthVersionMax="47" xr10:uidLastSave="{00000000-0000-0000-0000-000000000000}"/>
  <bookViews>
    <workbookView xWindow="44960" yWindow="19940" windowWidth="27240" windowHeight="16440" xr2:uid="{B657D962-5E45-BA45-9379-844CA72D5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T4" i="1"/>
  <c r="T3" i="1"/>
  <c r="T2" i="1"/>
  <c r="S4" i="1"/>
  <c r="S3" i="1"/>
  <c r="S2" i="1"/>
  <c r="R4" i="1"/>
  <c r="R3" i="1"/>
  <c r="R2" i="1"/>
  <c r="Q3" i="1"/>
  <c r="Q2" i="1"/>
  <c r="Q11" i="1"/>
  <c r="Q10" i="1"/>
  <c r="P4" i="1"/>
  <c r="P3" i="1"/>
  <c r="P2" i="1"/>
  <c r="N11" i="1"/>
  <c r="N10" i="1"/>
  <c r="L11" i="1"/>
  <c r="L10" i="1"/>
  <c r="K11" i="1"/>
  <c r="K10" i="1"/>
  <c r="N4" i="1"/>
  <c r="N3" i="1"/>
  <c r="N2" i="1"/>
  <c r="L4" i="1"/>
  <c r="L3" i="1"/>
  <c r="L2" i="1"/>
  <c r="K3" i="1"/>
  <c r="K2" i="1"/>
  <c r="J3" i="1"/>
  <c r="J2" i="1"/>
  <c r="E12" i="1"/>
  <c r="Q12" i="1" s="1"/>
  <c r="D12" i="1"/>
  <c r="J7" i="1"/>
  <c r="T11" i="1"/>
  <c r="R11" i="1"/>
  <c r="P11" i="1"/>
  <c r="T10" i="1"/>
  <c r="R10" i="1"/>
  <c r="P10" i="1"/>
  <c r="J11" i="1"/>
  <c r="J10" i="1"/>
  <c r="G11" i="1"/>
  <c r="M11" i="1" s="1"/>
  <c r="G10" i="1"/>
  <c r="M10" i="1" s="1"/>
  <c r="H12" i="1"/>
  <c r="N12" i="1" s="1"/>
  <c r="C12" i="1"/>
  <c r="F12" i="1"/>
  <c r="L12" i="1" s="1"/>
  <c r="J4" i="1"/>
  <c r="G4" i="1"/>
  <c r="M4" i="1" s="1"/>
  <c r="G3" i="1"/>
  <c r="G2" i="1"/>
  <c r="K12" i="1" l="1"/>
  <c r="M3" i="1"/>
  <c r="M2" i="1"/>
  <c r="M7" i="1"/>
  <c r="J12" i="1"/>
  <c r="T12" i="1"/>
  <c r="P12" i="1"/>
  <c r="G12" i="1"/>
  <c r="M12" i="1" s="1"/>
  <c r="M6" i="1"/>
  <c r="S11" i="1"/>
  <c r="S10" i="1"/>
  <c r="R12" i="1"/>
  <c r="S12" i="1" l="1"/>
</calcChain>
</file>

<file path=xl/sharedStrings.xml><?xml version="1.0" encoding="utf-8"?>
<sst xmlns="http://schemas.openxmlformats.org/spreadsheetml/2006/main" count="10" uniqueCount="7">
  <si>
    <t>エネルギー消費量</t>
  </si>
  <si>
    <t>エネルギー起源</t>
  </si>
  <si>
    <t>co2排出量</t>
  </si>
  <si>
    <t>排出原単位</t>
  </si>
  <si>
    <t>rel to 2013</t>
  </si>
  <si>
    <t>rel to 2023</t>
  </si>
  <si>
    <t>CO2全体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</si>
</sst>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2" fillId="0" borderId="0" xfId="1" applyFont="1"/>
    <xf numFmtId="2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0CF6-67B1-3640-A909-4C2C670A85DE}">
  <dimension ref="A1:T14"/>
  <sheetViews>
    <sheetView tabSelected="1" workbookViewId="0">
      <selection activeCell="H14" sqref="H14"/>
    </sheetView>
  </sheetViews>
  <sheetFormatPr baseColWidth="10" defaultRowHeight="18" x14ac:dyDescent="0.25"/>
  <cols>
    <col min="1" max="1" width="15.83203125" style="1" customWidth="1"/>
    <col min="2" max="2" width="20.83203125" style="1" customWidth="1"/>
    <col min="3" max="5" width="10.83203125" style="1"/>
    <col min="6" max="6" width="14.5" style="1" bestFit="1" customWidth="1"/>
    <col min="7" max="7" width="11.6640625" style="1" bestFit="1" customWidth="1"/>
    <col min="8" max="16384" width="10.83203125" style="1"/>
  </cols>
  <sheetData>
    <row r="1" spans="1:20" x14ac:dyDescent="0.25">
      <c r="C1" s="1">
        <v>2013</v>
      </c>
      <c r="D1" s="1">
        <v>2023</v>
      </c>
      <c r="E1" s="1">
        <v>2024</v>
      </c>
      <c r="F1" s="1">
        <v>2030</v>
      </c>
      <c r="G1" s="1">
        <v>2035</v>
      </c>
      <c r="H1" s="1">
        <v>2040</v>
      </c>
      <c r="J1" s="1">
        <v>2023</v>
      </c>
      <c r="K1" s="1">
        <v>2024</v>
      </c>
      <c r="L1" s="1">
        <v>2030</v>
      </c>
      <c r="M1" s="1">
        <v>2035</v>
      </c>
      <c r="N1" s="1">
        <v>2040</v>
      </c>
      <c r="P1" s="1">
        <v>2023</v>
      </c>
      <c r="Q1" s="1">
        <v>2024</v>
      </c>
      <c r="R1" s="1">
        <v>2030</v>
      </c>
      <c r="S1" s="1">
        <v>2035</v>
      </c>
      <c r="T1" s="1">
        <v>2040</v>
      </c>
    </row>
    <row r="2" spans="1:20" x14ac:dyDescent="0.25">
      <c r="A2" s="1" t="s">
        <v>1</v>
      </c>
      <c r="B2" s="1" t="s">
        <v>0</v>
      </c>
      <c r="C2" s="1">
        <v>12406535.808366509</v>
      </c>
      <c r="D2" s="1">
        <v>10281166.009460967</v>
      </c>
      <c r="E2" s="1">
        <v>10154062.8167019</v>
      </c>
      <c r="F2" s="1">
        <v>8805008.7172711715</v>
      </c>
      <c r="G2" s="1">
        <f>(F2+H2)/2</f>
        <v>7731108.4024157226</v>
      </c>
      <c r="H2" s="1">
        <v>6657208.0875602746</v>
      </c>
      <c r="J2" s="2">
        <f>1-D2/$C2</f>
        <v>0.17131049567214973</v>
      </c>
      <c r="K2" s="2">
        <f>1-E2/$C2</f>
        <v>0.18155535327964989</v>
      </c>
      <c r="L2" s="2">
        <f>1-F2/$C2</f>
        <v>0.29029272528005767</v>
      </c>
      <c r="M2" s="2">
        <f>1-G2/$C2</f>
        <v>0.37685196562265599</v>
      </c>
      <c r="N2" s="2">
        <f>1-H2/$C2</f>
        <v>0.4634112059652542</v>
      </c>
      <c r="P2" s="2">
        <f t="shared" ref="P2:T4" si="0">1-D2/$D2</f>
        <v>0</v>
      </c>
      <c r="Q2" s="2">
        <f>1-E2/$D2</f>
        <v>1.236272156699969E-2</v>
      </c>
      <c r="R2" s="2">
        <f t="shared" si="0"/>
        <v>0.14357878190386197</v>
      </c>
      <c r="S2" s="2">
        <f t="shared" si="0"/>
        <v>0.24803194547180951</v>
      </c>
      <c r="T2" s="2">
        <f t="shared" si="0"/>
        <v>0.35248510903975705</v>
      </c>
    </row>
    <row r="3" spans="1:20" x14ac:dyDescent="0.25">
      <c r="B3" s="1" t="s">
        <v>2</v>
      </c>
      <c r="C3" s="1">
        <v>1235.3729068825385</v>
      </c>
      <c r="D3" s="1">
        <v>921.72243674118397</v>
      </c>
      <c r="E3" s="1">
        <v>906.62701153978298</v>
      </c>
      <c r="F3" s="1">
        <v>513.19461791809999</v>
      </c>
      <c r="G3" s="1">
        <f>(F3+H3)/2</f>
        <v>334.68212247560001</v>
      </c>
      <c r="H3" s="1">
        <v>156.1696270331</v>
      </c>
      <c r="J3" s="2">
        <f>1-D3/$C3</f>
        <v>0.2538913298113773</v>
      </c>
      <c r="K3" s="2">
        <f>1-E3/$C3</f>
        <v>0.26611065655660626</v>
      </c>
      <c r="L3" s="2">
        <f>1-F3/$C3</f>
        <v>0.58458323388915345</v>
      </c>
      <c r="M3" s="2">
        <f>1-G3/$C3</f>
        <v>0.7290841327254215</v>
      </c>
      <c r="N3" s="2">
        <f>1-H3/$C3</f>
        <v>0.87358503156168954</v>
      </c>
      <c r="P3" s="2">
        <f t="shared" si="0"/>
        <v>0</v>
      </c>
      <c r="Q3" s="2">
        <f>1-E3/$D3</f>
        <v>1.637740885940886E-2</v>
      </c>
      <c r="R3" s="2">
        <f t="shared" si="0"/>
        <v>0.44322217029615063</v>
      </c>
      <c r="S3" s="2">
        <f t="shared" si="0"/>
        <v>0.63689489467252991</v>
      </c>
      <c r="T3" s="2">
        <f t="shared" si="0"/>
        <v>0.83056761904890919</v>
      </c>
    </row>
    <row r="4" spans="1:20" x14ac:dyDescent="0.25">
      <c r="B4" s="1" t="s">
        <v>3</v>
      </c>
      <c r="C4" s="1">
        <v>9.1159709490517957E-5</v>
      </c>
      <c r="D4" s="1">
        <v>8.1848667429222763E-5</v>
      </c>
      <c r="F4" s="1">
        <v>5.8284396347213167E-5</v>
      </c>
      <c r="G4" s="1">
        <f>(F4+H4)/2</f>
        <v>4.0871561667960929E-5</v>
      </c>
      <c r="H4" s="1">
        <v>2.3458726988708688E-5</v>
      </c>
      <c r="J4" s="2">
        <f>1-D4/$C4</f>
        <v>0.10213988299582821</v>
      </c>
      <c r="K4" s="2"/>
      <c r="L4" s="2">
        <f>1-F4/$C4</f>
        <v>0.36063424650036147</v>
      </c>
      <c r="M4" s="2">
        <f>1-G4/$C4</f>
        <v>0.55164883810635423</v>
      </c>
      <c r="N4" s="2">
        <f>1-H4/$C4</f>
        <v>0.74266342971234711</v>
      </c>
      <c r="P4" s="2">
        <f t="shared" si="0"/>
        <v>0</v>
      </c>
      <c r="Q4" s="2"/>
      <c r="R4" s="2">
        <f t="shared" si="0"/>
        <v>0.28790048539747326</v>
      </c>
      <c r="S4" s="2">
        <f t="shared" si="0"/>
        <v>0.50064475144566134</v>
      </c>
      <c r="T4" s="2">
        <f t="shared" si="0"/>
        <v>0.71338901749384953</v>
      </c>
    </row>
    <row r="5" spans="1:20" x14ac:dyDescent="0.25">
      <c r="P5" s="2"/>
      <c r="Q5" s="2"/>
      <c r="R5" s="2"/>
      <c r="S5" s="2"/>
      <c r="T5" s="2"/>
    </row>
    <row r="6" spans="1:20" x14ac:dyDescent="0.25">
      <c r="I6" s="1">
        <v>10</v>
      </c>
      <c r="J6" s="3">
        <f>$I6*D2/$C2</f>
        <v>8.286895043278502</v>
      </c>
      <c r="K6" s="3"/>
      <c r="M6" s="3">
        <f>$I6*G2/$C2</f>
        <v>6.2314803437734403</v>
      </c>
    </row>
    <row r="7" spans="1:20" x14ac:dyDescent="0.25">
      <c r="I7" s="1">
        <v>8</v>
      </c>
      <c r="J7" s="3">
        <f>$I7*D4/$C4</f>
        <v>7.1828809360333743</v>
      </c>
      <c r="K7" s="3"/>
      <c r="M7" s="3">
        <f>$I7*G4/$C4</f>
        <v>3.5868092951491657</v>
      </c>
    </row>
    <row r="9" spans="1:20" x14ac:dyDescent="0.25">
      <c r="P9" s="2"/>
      <c r="Q9" s="2"/>
      <c r="R9" s="2"/>
      <c r="S9" s="2"/>
      <c r="T9" s="2"/>
    </row>
    <row r="10" spans="1:20" x14ac:dyDescent="0.25">
      <c r="A10" s="1" t="s">
        <v>6</v>
      </c>
      <c r="B10" s="1" t="s">
        <v>0</v>
      </c>
      <c r="C10" s="1">
        <v>14065271.639430869</v>
      </c>
      <c r="D10" s="1">
        <v>11509459.1645803</v>
      </c>
      <c r="E10" s="1">
        <v>11280435.106711101</v>
      </c>
      <c r="F10" s="1">
        <v>10431403.16516431</v>
      </c>
      <c r="G10" s="1">
        <f>(F10+H10)/2</f>
        <v>9327485.3376156725</v>
      </c>
      <c r="H10" s="1">
        <v>8223567.5100670327</v>
      </c>
      <c r="J10" s="2">
        <f>1-D10/$C10</f>
        <v>0.18171085069452564</v>
      </c>
      <c r="K10" s="2">
        <f>1-E10/$C10</f>
        <v>0.19799379664397676</v>
      </c>
      <c r="L10" s="2">
        <f>1-F10/$C10</f>
        <v>0.25835750402994695</v>
      </c>
      <c r="M10" s="2">
        <f>1-G10/$C10</f>
        <v>0.33684285830166194</v>
      </c>
      <c r="N10" s="2">
        <f>1-H10/$C10</f>
        <v>0.41532821257337715</v>
      </c>
      <c r="P10" s="2">
        <f t="shared" ref="P10:Q12" si="1">1-D10/$D10</f>
        <v>0</v>
      </c>
      <c r="Q10" s="2">
        <f t="shared" si="1"/>
        <v>1.9898768012836632E-2</v>
      </c>
      <c r="R10" s="2">
        <f t="shared" ref="R10:R12" si="2">1-F10/$D10</f>
        <v>9.3666955501579552E-2</v>
      </c>
      <c r="S10" s="2">
        <f t="shared" ref="S10:S12" si="3">1-G10/$D10</f>
        <v>0.18958091737963911</v>
      </c>
      <c r="T10" s="2">
        <f t="shared" ref="T10:T12" si="4">1-H10/$D10</f>
        <v>0.28549487925769879</v>
      </c>
    </row>
    <row r="11" spans="1:20" x14ac:dyDescent="0.25">
      <c r="B11" s="1" t="s">
        <v>2</v>
      </c>
      <c r="C11" s="1">
        <v>1312.3702262424408</v>
      </c>
      <c r="D11" s="1">
        <v>988.18969103318091</v>
      </c>
      <c r="E11" s="1">
        <v>971.48200260911926</v>
      </c>
      <c r="F11" s="1">
        <v>623.99534814829997</v>
      </c>
      <c r="G11" s="1">
        <f>(F11+H11)/2</f>
        <v>419.90923249725</v>
      </c>
      <c r="H11" s="1">
        <v>215.82311684620001</v>
      </c>
      <c r="J11" s="2">
        <f>1-D11/$C11</f>
        <v>0.24701911756825579</v>
      </c>
      <c r="K11" s="2">
        <f>1-E11/$C11</f>
        <v>0.25975004371239641</v>
      </c>
      <c r="L11" s="2">
        <f>1-F11/$C11</f>
        <v>0.52452796042553151</v>
      </c>
      <c r="M11" s="2">
        <f>1-G11/$C11</f>
        <v>0.6800375198243197</v>
      </c>
      <c r="N11" s="2">
        <f>1-H11/$C11</f>
        <v>0.83554707922310789</v>
      </c>
      <c r="P11" s="2">
        <f t="shared" si="1"/>
        <v>0</v>
      </c>
      <c r="Q11" s="2">
        <f t="shared" si="1"/>
        <v>1.6907369683844098E-2</v>
      </c>
      <c r="R11" s="2">
        <f t="shared" si="2"/>
        <v>0.36854699678571345</v>
      </c>
      <c r="S11" s="2">
        <f t="shared" si="3"/>
        <v>0.57507223936102514</v>
      </c>
      <c r="T11" s="2">
        <f t="shared" si="4"/>
        <v>0.78159748193633682</v>
      </c>
    </row>
    <row r="12" spans="1:20" x14ac:dyDescent="0.25">
      <c r="B12" s="1" t="s">
        <v>3</v>
      </c>
      <c r="C12" s="1">
        <f>C11/C10</f>
        <v>9.3305714947112392E-5</v>
      </c>
      <c r="D12" s="1">
        <f>D11/D10</f>
        <v>8.5858916296803763E-5</v>
      </c>
      <c r="E12" s="1">
        <f>E11/E10</f>
        <v>8.6120969042333554E-5</v>
      </c>
      <c r="F12" s="1">
        <f>F11/F10</f>
        <v>5.9818927355059343E-5</v>
      </c>
      <c r="G12" s="1">
        <f>(F12+H12)/2</f>
        <v>4.3031695396427591E-5</v>
      </c>
      <c r="H12" s="1">
        <f>H11/H10</f>
        <v>2.6244463437795841E-5</v>
      </c>
      <c r="J12" s="2">
        <f>1-D12/$C12</f>
        <v>7.9810745296037156E-2</v>
      </c>
      <c r="K12" s="2">
        <f>1-E12/$C12</f>
        <v>7.7002206229825232E-2</v>
      </c>
      <c r="L12" s="2">
        <f>1-F12/$C12</f>
        <v>0.35889321046448286</v>
      </c>
      <c r="M12" s="2">
        <f>1-G12/$C12</f>
        <v>0.53880964932513686</v>
      </c>
      <c r="N12" s="2">
        <f>1-H12/$C12</f>
        <v>0.71872608818579065</v>
      </c>
      <c r="P12" s="2">
        <f t="shared" si="1"/>
        <v>0</v>
      </c>
      <c r="Q12" s="2">
        <f t="shared" si="1"/>
        <v>-3.0521319955159054E-3</v>
      </c>
      <c r="R12" s="2">
        <f t="shared" si="2"/>
        <v>0.30328811572379233</v>
      </c>
      <c r="S12" s="2">
        <f t="shared" si="3"/>
        <v>0.49880924134108229</v>
      </c>
      <c r="T12" s="2">
        <f t="shared" si="4"/>
        <v>0.69433036695837225</v>
      </c>
    </row>
    <row r="14" spans="1:20" x14ac:dyDescent="0.25">
      <c r="J14" s="1" t="s">
        <v>4</v>
      </c>
      <c r="P1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2026-06-10T06:19:38Z</dcterms:created>
  <dcterms:modified xsi:type="dcterms:W3CDTF">2026-07-30T05:06:06Z</dcterms:modified>
</cp:coreProperties>
</file>