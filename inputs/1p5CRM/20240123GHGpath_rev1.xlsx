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ata/Downloads/20250429work_NZPR/inputs/1p5CRM/"/>
    </mc:Choice>
  </mc:AlternateContent>
  <xr:revisionPtr revIDLastSave="0" documentId="8_{D610EB27-FE36-9E42-86E6-9B05357E7928}" xr6:coauthVersionLast="47" xr6:coauthVersionMax="47" xr10:uidLastSave="{00000000-0000-0000-0000-000000000000}"/>
  <bookViews>
    <workbookView xWindow="34760" yWindow="5560" windowWidth="26440" windowHeight="15440" activeTab="3" xr2:uid="{7A21F22F-E78D-804B-86A4-35E1BD11B3C1}"/>
  </bookViews>
  <sheets>
    <sheet name="Sheet1" sheetId="1" r:id="rId1"/>
    <sheet name="Sheet2" sheetId="2" r:id="rId2"/>
    <sheet name="IGESRM20231114" sheetId="3" r:id="rId3"/>
    <sheet name="IGESRM20231114_step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4" l="1"/>
  <c r="G32" i="4" s="1"/>
  <c r="B32" i="4"/>
  <c r="D32" i="4" s="1"/>
  <c r="F32" i="4" s="1"/>
  <c r="C31" i="4"/>
  <c r="G31" i="4" s="1"/>
  <c r="B31" i="4"/>
  <c r="D31" i="4" s="1"/>
  <c r="F31" i="4" s="1"/>
  <c r="C30" i="4"/>
  <c r="G30" i="4" s="1"/>
  <c r="B30" i="4"/>
  <c r="D30" i="4" s="1"/>
  <c r="F30" i="4" s="1"/>
  <c r="C29" i="4"/>
  <c r="G29" i="4" s="1"/>
  <c r="B29" i="4"/>
  <c r="D29" i="4" s="1"/>
  <c r="F29" i="4" s="1"/>
  <c r="D28" i="4"/>
  <c r="F28" i="4" s="1"/>
  <c r="C28" i="4"/>
  <c r="G28" i="4" s="1"/>
  <c r="B28" i="4"/>
  <c r="C27" i="4"/>
  <c r="G27" i="4" s="1"/>
  <c r="B27" i="4"/>
  <c r="D27" i="4" s="1"/>
  <c r="F27" i="4" s="1"/>
  <c r="C26" i="4"/>
  <c r="G26" i="4" s="1"/>
  <c r="B26" i="4"/>
  <c r="D26" i="4" s="1"/>
  <c r="C25" i="4"/>
  <c r="G25" i="4" s="1"/>
  <c r="B25" i="4"/>
  <c r="D25" i="4" s="1"/>
  <c r="F25" i="4" s="1"/>
  <c r="C24" i="4"/>
  <c r="G24" i="4" s="1"/>
  <c r="B24" i="4"/>
  <c r="D24" i="4" s="1"/>
  <c r="F24" i="4" s="1"/>
  <c r="D23" i="4"/>
  <c r="F23" i="4" s="1"/>
  <c r="C23" i="4"/>
  <c r="G23" i="4" s="1"/>
  <c r="B23" i="4"/>
  <c r="C22" i="4"/>
  <c r="G22" i="4" s="1"/>
  <c r="B22" i="4"/>
  <c r="D22" i="4" s="1"/>
  <c r="F22" i="4" s="1"/>
  <c r="C21" i="4"/>
  <c r="G21" i="4" s="1"/>
  <c r="B21" i="4"/>
  <c r="D21" i="4" s="1"/>
  <c r="F21" i="4" s="1"/>
  <c r="D20" i="4"/>
  <c r="F20" i="4" s="1"/>
  <c r="C20" i="4"/>
  <c r="G20" i="4" s="1"/>
  <c r="B20" i="4"/>
  <c r="C19" i="4"/>
  <c r="G19" i="4" s="1"/>
  <c r="B19" i="4"/>
  <c r="D19" i="4" s="1"/>
  <c r="F19" i="4" s="1"/>
  <c r="C18" i="4"/>
  <c r="G18" i="4" s="1"/>
  <c r="B18" i="4"/>
  <c r="D18" i="4" s="1"/>
  <c r="E18" i="4" s="1"/>
  <c r="C17" i="4"/>
  <c r="G17" i="4" s="1"/>
  <c r="B17" i="4"/>
  <c r="D17" i="4" s="1"/>
  <c r="F17" i="4" s="1"/>
  <c r="C16" i="4"/>
  <c r="G16" i="4" s="1"/>
  <c r="B16" i="4"/>
  <c r="D16" i="4" s="1"/>
  <c r="F16" i="4" s="1"/>
  <c r="D15" i="4"/>
  <c r="F15" i="4" s="1"/>
  <c r="C15" i="4"/>
  <c r="G15" i="4" s="1"/>
  <c r="B15" i="4"/>
  <c r="C14" i="4"/>
  <c r="G14" i="4" s="1"/>
  <c r="B14" i="4"/>
  <c r="D14" i="4" s="1"/>
  <c r="F14" i="4" s="1"/>
  <c r="C13" i="4"/>
  <c r="G13" i="4" s="1"/>
  <c r="B13" i="4"/>
  <c r="D13" i="4" s="1"/>
  <c r="F13" i="4" s="1"/>
  <c r="D12" i="4"/>
  <c r="E12" i="4" s="1"/>
  <c r="C12" i="4"/>
  <c r="G12" i="4" s="1"/>
  <c r="B12" i="4"/>
  <c r="C11" i="4"/>
  <c r="G11" i="4" s="1"/>
  <c r="B11" i="4"/>
  <c r="D11" i="4" s="1"/>
  <c r="E11" i="4" s="1"/>
  <c r="C10" i="4"/>
  <c r="G10" i="4" s="1"/>
  <c r="B10" i="4"/>
  <c r="D10" i="4" s="1"/>
  <c r="F10" i="4" s="1"/>
  <c r="C9" i="4"/>
  <c r="G9" i="4" s="1"/>
  <c r="B9" i="4"/>
  <c r="D9" i="4" s="1"/>
  <c r="F9" i="4" s="1"/>
  <c r="C8" i="4"/>
  <c r="G8" i="4" s="1"/>
  <c r="B8" i="4"/>
  <c r="D8" i="4" s="1"/>
  <c r="F8" i="4" s="1"/>
  <c r="D7" i="4"/>
  <c r="F7" i="4" s="1"/>
  <c r="C7" i="4"/>
  <c r="G7" i="4" s="1"/>
  <c r="B7" i="4"/>
  <c r="C6" i="4"/>
  <c r="G6" i="4" s="1"/>
  <c r="B6" i="4"/>
  <c r="D6" i="4" s="1"/>
  <c r="F6" i="4" s="1"/>
  <c r="C5" i="4"/>
  <c r="G5" i="4" s="1"/>
  <c r="B5" i="4"/>
  <c r="D5" i="4" s="1"/>
  <c r="E5" i="4" s="1"/>
  <c r="D4" i="4"/>
  <c r="F4" i="4" s="1"/>
  <c r="C4" i="4"/>
  <c r="G4" i="4" s="1"/>
  <c r="B4" i="4"/>
  <c r="C3" i="4"/>
  <c r="G3" i="4" s="1"/>
  <c r="B3" i="4"/>
  <c r="D3" i="4" s="1"/>
  <c r="F3" i="4" s="1"/>
  <c r="C2" i="4"/>
  <c r="G2" i="4" s="1"/>
  <c r="B2" i="4"/>
  <c r="D2" i="4" s="1"/>
  <c r="E2" i="4" s="1"/>
  <c r="E26" i="4" l="1"/>
  <c r="F26" i="4"/>
  <c r="I9" i="4"/>
  <c r="H9" i="4"/>
  <c r="I30" i="4"/>
  <c r="H30" i="4"/>
  <c r="I28" i="4"/>
  <c r="H28" i="4"/>
  <c r="I2" i="4"/>
  <c r="H2" i="4"/>
  <c r="I10" i="4"/>
  <c r="H10" i="4"/>
  <c r="I26" i="4"/>
  <c r="H26" i="4"/>
  <c r="I5" i="4"/>
  <c r="H5" i="4"/>
  <c r="I16" i="4"/>
  <c r="H16" i="4"/>
  <c r="I24" i="4"/>
  <c r="H24" i="4"/>
  <c r="I29" i="4"/>
  <c r="H29" i="4"/>
  <c r="I17" i="4"/>
  <c r="H17" i="4"/>
  <c r="I25" i="4"/>
  <c r="H25" i="4"/>
  <c r="I4" i="4"/>
  <c r="H4" i="4"/>
  <c r="I12" i="4"/>
  <c r="H12" i="4"/>
  <c r="I20" i="4"/>
  <c r="H20" i="4"/>
  <c r="I15" i="4"/>
  <c r="H15" i="4"/>
  <c r="I19" i="4"/>
  <c r="H19" i="4"/>
  <c r="I32" i="4"/>
  <c r="H32" i="4"/>
  <c r="I7" i="4"/>
  <c r="H7" i="4"/>
  <c r="I23" i="4"/>
  <c r="H23" i="4"/>
  <c r="I18" i="4"/>
  <c r="H18" i="4"/>
  <c r="I31" i="4"/>
  <c r="H31" i="4"/>
  <c r="I13" i="4"/>
  <c r="H13" i="4"/>
  <c r="I21" i="4"/>
  <c r="H21" i="4"/>
  <c r="I8" i="4"/>
  <c r="H8" i="4"/>
  <c r="I3" i="4"/>
  <c r="H3" i="4"/>
  <c r="I11" i="4"/>
  <c r="H11" i="4"/>
  <c r="I6" i="4"/>
  <c r="H6" i="4"/>
  <c r="I14" i="4"/>
  <c r="H14" i="4"/>
  <c r="I22" i="4"/>
  <c r="H22" i="4"/>
  <c r="I27" i="4"/>
  <c r="H27" i="4"/>
  <c r="E32" i="4"/>
  <c r="E3" i="4"/>
  <c r="E6" i="4"/>
  <c r="E10" i="4"/>
  <c r="E23" i="4"/>
  <c r="F12" i="4"/>
  <c r="F18" i="4"/>
  <c r="E4" i="4"/>
  <c r="E7" i="4"/>
  <c r="E8" i="4"/>
  <c r="E9" i="4"/>
  <c r="E13" i="4"/>
  <c r="E14" i="4"/>
  <c r="E15" i="4"/>
  <c r="E16" i="4"/>
  <c r="E17" i="4"/>
  <c r="E19" i="4"/>
  <c r="E20" i="4"/>
  <c r="E21" i="4"/>
  <c r="E24" i="4"/>
  <c r="E25" i="4"/>
  <c r="E27" i="4"/>
  <c r="E28" i="4"/>
  <c r="E29" i="4"/>
  <c r="E30" i="4"/>
  <c r="E31" i="4"/>
  <c r="F2" i="4"/>
  <c r="F5" i="4"/>
  <c r="F11" i="4"/>
  <c r="E22" i="4"/>
  <c r="I29" i="3" l="1"/>
  <c r="I28" i="3"/>
  <c r="I25" i="3"/>
  <c r="I17" i="3"/>
  <c r="I9" i="3"/>
  <c r="H32" i="3"/>
  <c r="H25" i="3"/>
  <c r="H24" i="3"/>
  <c r="H17" i="3"/>
  <c r="H16" i="3"/>
  <c r="H9" i="3"/>
  <c r="H8" i="3"/>
  <c r="F32" i="3"/>
  <c r="F31" i="3"/>
  <c r="F26" i="3"/>
  <c r="F25" i="3"/>
  <c r="F24" i="3"/>
  <c r="F23" i="3"/>
  <c r="F18" i="3"/>
  <c r="F17" i="3"/>
  <c r="F16" i="3"/>
  <c r="F15" i="3"/>
  <c r="F10" i="3"/>
  <c r="F9" i="3"/>
  <c r="F8" i="3"/>
  <c r="F7" i="3"/>
  <c r="F2" i="3"/>
  <c r="E32" i="3"/>
  <c r="E31" i="3"/>
  <c r="E30" i="3"/>
  <c r="E26" i="3"/>
  <c r="E25" i="3"/>
  <c r="E24" i="3"/>
  <c r="E23" i="3"/>
  <c r="E22" i="3"/>
  <c r="E18" i="3"/>
  <c r="E17" i="3"/>
  <c r="E16" i="3"/>
  <c r="E15" i="3"/>
  <c r="E14" i="3"/>
  <c r="E10" i="3"/>
  <c r="E9" i="3"/>
  <c r="E8" i="3"/>
  <c r="E7" i="3"/>
  <c r="E6" i="3"/>
  <c r="E2" i="3"/>
  <c r="D32" i="3"/>
  <c r="D31" i="3"/>
  <c r="D30" i="3"/>
  <c r="F30" i="3" s="1"/>
  <c r="D29" i="3"/>
  <c r="E29" i="3" s="1"/>
  <c r="D26" i="3"/>
  <c r="D25" i="3"/>
  <c r="D24" i="3"/>
  <c r="D23" i="3"/>
  <c r="D22" i="3"/>
  <c r="F22" i="3" s="1"/>
  <c r="D21" i="3"/>
  <c r="E21" i="3" s="1"/>
  <c r="D18" i="3"/>
  <c r="D17" i="3"/>
  <c r="D16" i="3"/>
  <c r="D15" i="3"/>
  <c r="D14" i="3"/>
  <c r="F14" i="3" s="1"/>
  <c r="D13" i="3"/>
  <c r="E13" i="3" s="1"/>
  <c r="D10" i="3"/>
  <c r="D9" i="3"/>
  <c r="D8" i="3"/>
  <c r="D7" i="3"/>
  <c r="D6" i="3"/>
  <c r="F6" i="3" s="1"/>
  <c r="D5" i="3"/>
  <c r="E5" i="3" s="1"/>
  <c r="D2" i="3"/>
  <c r="G32" i="3"/>
  <c r="I32" i="3" s="1"/>
  <c r="G31" i="3"/>
  <c r="H31" i="3" s="1"/>
  <c r="G30" i="3"/>
  <c r="I30" i="3" s="1"/>
  <c r="G29" i="3"/>
  <c r="H29" i="3" s="1"/>
  <c r="G28" i="3"/>
  <c r="H28" i="3" s="1"/>
  <c r="G25" i="3"/>
  <c r="G24" i="3"/>
  <c r="I24" i="3" s="1"/>
  <c r="G23" i="3"/>
  <c r="H23" i="3" s="1"/>
  <c r="G22" i="3"/>
  <c r="H22" i="3" s="1"/>
  <c r="G21" i="3"/>
  <c r="H21" i="3" s="1"/>
  <c r="G20" i="3"/>
  <c r="I20" i="3" s="1"/>
  <c r="G17" i="3"/>
  <c r="G16" i="3"/>
  <c r="I16" i="3" s="1"/>
  <c r="G15" i="3"/>
  <c r="H15" i="3" s="1"/>
  <c r="G14" i="3"/>
  <c r="H14" i="3" s="1"/>
  <c r="G13" i="3"/>
  <c r="H13" i="3" s="1"/>
  <c r="G12" i="3"/>
  <c r="H12" i="3" s="1"/>
  <c r="G9" i="3"/>
  <c r="G8" i="3"/>
  <c r="I8" i="3" s="1"/>
  <c r="G7" i="3"/>
  <c r="H7" i="3" s="1"/>
  <c r="G6" i="3"/>
  <c r="H6" i="3" s="1"/>
  <c r="G5" i="3"/>
  <c r="H5" i="3" s="1"/>
  <c r="G4" i="3"/>
  <c r="H4" i="3" s="1"/>
  <c r="B32" i="3"/>
  <c r="B31" i="3"/>
  <c r="B30" i="3"/>
  <c r="B29" i="3"/>
  <c r="B28" i="3"/>
  <c r="D28" i="3" s="1"/>
  <c r="B27" i="3"/>
  <c r="D27" i="3" s="1"/>
  <c r="B26" i="3"/>
  <c r="B25" i="3"/>
  <c r="B24" i="3"/>
  <c r="B23" i="3"/>
  <c r="B22" i="3"/>
  <c r="B21" i="3"/>
  <c r="B20" i="3"/>
  <c r="D20" i="3" s="1"/>
  <c r="B19" i="3"/>
  <c r="D19" i="3" s="1"/>
  <c r="B18" i="3"/>
  <c r="B17" i="3"/>
  <c r="B16" i="3"/>
  <c r="B15" i="3"/>
  <c r="B14" i="3"/>
  <c r="B13" i="3"/>
  <c r="B12" i="3"/>
  <c r="D12" i="3" s="1"/>
  <c r="B11" i="3"/>
  <c r="D11" i="3" s="1"/>
  <c r="B10" i="3"/>
  <c r="B9" i="3"/>
  <c r="B8" i="3"/>
  <c r="B7" i="3"/>
  <c r="B6" i="3"/>
  <c r="B5" i="3"/>
  <c r="B4" i="3"/>
  <c r="D4" i="3" s="1"/>
  <c r="B3" i="3"/>
  <c r="D3" i="3" s="1"/>
  <c r="B2" i="3"/>
  <c r="C32" i="3"/>
  <c r="C31" i="3"/>
  <c r="C30" i="3"/>
  <c r="C29" i="3"/>
  <c r="C28" i="3"/>
  <c r="C27" i="3"/>
  <c r="G27" i="3" s="1"/>
  <c r="C26" i="3"/>
  <c r="G26" i="3" s="1"/>
  <c r="C25" i="3"/>
  <c r="C24" i="3"/>
  <c r="C23" i="3"/>
  <c r="C22" i="3"/>
  <c r="C21" i="3"/>
  <c r="C20" i="3"/>
  <c r="C19" i="3"/>
  <c r="G19" i="3" s="1"/>
  <c r="C18" i="3"/>
  <c r="G18" i="3" s="1"/>
  <c r="C17" i="3"/>
  <c r="C16" i="3"/>
  <c r="C15" i="3"/>
  <c r="C14" i="3"/>
  <c r="C13" i="3"/>
  <c r="C12" i="3"/>
  <c r="C11" i="3"/>
  <c r="G11" i="3" s="1"/>
  <c r="C10" i="3"/>
  <c r="G10" i="3" s="1"/>
  <c r="C9" i="3"/>
  <c r="C8" i="3"/>
  <c r="C7" i="3"/>
  <c r="C6" i="3"/>
  <c r="C5" i="3"/>
  <c r="C4" i="3"/>
  <c r="C3" i="3"/>
  <c r="G3" i="3" s="1"/>
  <c r="C2" i="3"/>
  <c r="G2" i="3" s="1"/>
  <c r="H10" i="3" l="1"/>
  <c r="I10" i="3"/>
  <c r="H26" i="3"/>
  <c r="I26" i="3"/>
  <c r="E11" i="3"/>
  <c r="F11" i="3"/>
  <c r="E19" i="3"/>
  <c r="F19" i="3"/>
  <c r="E27" i="3"/>
  <c r="F27" i="3"/>
  <c r="I2" i="3"/>
  <c r="H2" i="3"/>
  <c r="I18" i="3"/>
  <c r="H18" i="3"/>
  <c r="E3" i="3"/>
  <c r="F3" i="3"/>
  <c r="H3" i="3"/>
  <c r="I3" i="3"/>
  <c r="H11" i="3"/>
  <c r="I11" i="3"/>
  <c r="H19" i="3"/>
  <c r="I19" i="3"/>
  <c r="H27" i="3"/>
  <c r="I27" i="3"/>
  <c r="E4" i="3"/>
  <c r="F4" i="3"/>
  <c r="E12" i="3"/>
  <c r="F12" i="3"/>
  <c r="E20" i="3"/>
  <c r="F20" i="3"/>
  <c r="E28" i="3"/>
  <c r="F28" i="3"/>
  <c r="I4" i="3"/>
  <c r="I12" i="3"/>
  <c r="H20" i="3"/>
  <c r="I21" i="3"/>
  <c r="F21" i="3"/>
  <c r="H30" i="3"/>
  <c r="I31" i="3"/>
  <c r="I5" i="3"/>
  <c r="I13" i="3"/>
  <c r="I6" i="3"/>
  <c r="I14" i="3"/>
  <c r="I22" i="3"/>
  <c r="F5" i="3"/>
  <c r="F13" i="3"/>
  <c r="F29" i="3"/>
  <c r="I7" i="3"/>
  <c r="I15" i="3"/>
  <c r="I23" i="3"/>
  <c r="J17" i="1"/>
  <c r="I20" i="1"/>
  <c r="I17" i="1"/>
  <c r="K15" i="1"/>
  <c r="K20" i="1" s="1"/>
  <c r="J15" i="1"/>
  <c r="J20" i="1" s="1"/>
  <c r="K14" i="1"/>
  <c r="K19" i="1" s="1"/>
  <c r="J14" i="1"/>
  <c r="J19" i="1" s="1"/>
  <c r="K13" i="1"/>
  <c r="K18" i="1" s="1"/>
  <c r="J13" i="1"/>
  <c r="J18" i="1" s="1"/>
  <c r="K12" i="1"/>
  <c r="K17" i="1" s="1"/>
  <c r="J12" i="1"/>
  <c r="I15" i="1"/>
  <c r="I14" i="1"/>
  <c r="I19" i="1" s="1"/>
  <c r="I13" i="1"/>
  <c r="I18" i="1" s="1"/>
  <c r="I12" i="1"/>
  <c r="I39" i="2" l="1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E10" i="1" l="1"/>
  <c r="F13" i="1" s="1"/>
  <c r="F18" i="1" s="1"/>
  <c r="F12" i="1" l="1"/>
  <c r="F17" i="1" s="1"/>
  <c r="D14" i="1"/>
  <c r="D19" i="1" s="1"/>
  <c r="E14" i="1"/>
  <c r="E19" i="1" s="1"/>
  <c r="D12" i="1"/>
  <c r="D17" i="1" s="1"/>
  <c r="F14" i="1"/>
  <c r="F19" i="1" s="1"/>
  <c r="E12" i="1"/>
  <c r="E17" i="1" s="1"/>
  <c r="D15" i="1"/>
  <c r="D20" i="1" s="1"/>
  <c r="E15" i="1"/>
  <c r="E20" i="1" s="1"/>
  <c r="D13" i="1"/>
  <c r="D18" i="1" s="1"/>
  <c r="F15" i="1"/>
  <c r="F20" i="1" s="1"/>
  <c r="E13" i="1"/>
  <c r="E18" i="1" s="1"/>
</calcChain>
</file>

<file path=xl/sharedStrings.xml><?xml version="1.0" encoding="utf-8"?>
<sst xmlns="http://schemas.openxmlformats.org/spreadsheetml/2006/main" count="62" uniqueCount="37">
  <si>
    <t>GHG</t>
  </si>
  <si>
    <t>median</t>
  </si>
  <si>
    <t>CO2</t>
  </si>
  <si>
    <t>CEDS_historical_Kyoto gases (GHG)_median_x</t>
  </si>
  <si>
    <t>CEDS_historical_Kyoto gases (GHG)_median_y</t>
  </si>
  <si>
    <t>Kyoto gases (GHG)_C1_q0.05_q0.95_median_x</t>
  </si>
  <si>
    <t>Kyoto gases (GHG)_C1_q0.05_q0.95_median_y</t>
  </si>
  <si>
    <t>Kyoto gases (GHG)_C1_q0.05_q0.95_range_low_y</t>
  </si>
  <si>
    <t>Kyoto gases (GHG)_C1_q0.05_q0.95_range_high_y</t>
  </si>
  <si>
    <t>Table SPM.1</t>
  </si>
  <si>
    <t>2013年に対する削減割合</t>
  </si>
  <si>
    <t>日本 GHG inventory</t>
  </si>
  <si>
    <t>2019年に対する削減量</t>
  </si>
  <si>
    <t>low</t>
  </si>
  <si>
    <t>high</t>
  </si>
  <si>
    <t>農林水産業</t>
    <rPh sb="1" eb="4">
      <t>スイサンギョウ</t>
    </rPh>
    <phoneticPr fontId="3"/>
  </si>
  <si>
    <t>電力</t>
    <rPh sb="0" eb="2">
      <t>デンリョク</t>
    </rPh>
    <phoneticPr fontId="2"/>
  </si>
  <si>
    <t>製造業</t>
  </si>
  <si>
    <t>運輸</t>
    <rPh sb="0" eb="2">
      <t>ウンユ</t>
    </rPh>
    <phoneticPr fontId="2"/>
  </si>
  <si>
    <t>建物</t>
    <rPh sb="0" eb="2">
      <t>タテモノ</t>
    </rPh>
    <phoneticPr fontId="2"/>
  </si>
  <si>
    <t>その他GHG</t>
    <rPh sb="2" eb="3">
      <t>タ</t>
    </rPh>
    <phoneticPr fontId="2"/>
  </si>
  <si>
    <t>森林吸収源</t>
    <rPh sb="0" eb="2">
      <t>シンリン</t>
    </rPh>
    <rPh sb="2" eb="5">
      <t>キュウシュウゲン</t>
    </rPh>
    <phoneticPr fontId="2"/>
  </si>
  <si>
    <t>DACCS</t>
  </si>
  <si>
    <t>CCS回収分</t>
    <rPh sb="3" eb="6">
      <t>カイシュウブン</t>
    </rPh>
    <phoneticPr fontId="2"/>
  </si>
  <si>
    <t>CO2</t>
    <phoneticPr fontId="6"/>
  </si>
  <si>
    <t>CO2(森林吸収、DACCS含)</t>
    <rPh sb="4" eb="8">
      <t>シンリンキュウシュウ</t>
    </rPh>
    <rPh sb="14" eb="15">
      <t>フク</t>
    </rPh>
    <phoneticPr fontId="6"/>
  </si>
  <si>
    <t>森林吸収含まず</t>
    <rPh sb="0" eb="5">
      <t>シンリンキュウシュウフク</t>
    </rPh>
    <phoneticPr fontId="6"/>
  </si>
  <si>
    <t>森林吸収</t>
    <rPh sb="0" eb="4">
      <t>シンリンキュウシュウ</t>
    </rPh>
    <phoneticPr fontId="6"/>
  </si>
  <si>
    <t>GHG排出量</t>
    <rPh sb="3" eb="6">
      <t>ハイシュツリョウ</t>
    </rPh>
    <phoneticPr fontId="6"/>
  </si>
  <si>
    <t>CO2(DACCS含、森林吸収含まず)</t>
    <rPh sb="9" eb="10">
      <t>フク</t>
    </rPh>
    <rPh sb="11" eb="15">
      <t>シンリンキュウシュウ</t>
    </rPh>
    <rPh sb="15" eb="16">
      <t>フク</t>
    </rPh>
    <phoneticPr fontId="6"/>
  </si>
  <si>
    <t>GHG排出量(DACCS含、森林吸収含まず)</t>
    <rPh sb="3" eb="6">
      <t>ハイシュツリョウ</t>
    </rPh>
    <phoneticPr fontId="2"/>
  </si>
  <si>
    <t>GHG(森林吸収、DACCS含)</t>
    <rPh sb="4" eb="8">
      <t>シンリンキュウシュウ</t>
    </rPh>
    <rPh sb="14" eb="15">
      <t>フク</t>
    </rPh>
    <phoneticPr fontId="6"/>
  </si>
  <si>
    <t>Year</t>
    <phoneticPr fontId="6"/>
  </si>
  <si>
    <t>2019年比削減割合(GHG)</t>
  </si>
  <si>
    <t>2013年比削減割合(GHG)</t>
  </si>
  <si>
    <t>2013年比削減割合(CO2)</t>
  </si>
  <si>
    <t>2019年比削減割合(CO2)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</si>
</sst>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[Red]\-#,##0.0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charset val="128"/>
      <scheme val="major"/>
    </font>
    <font>
      <b/>
      <sz val="13"/>
      <color theme="3"/>
      <name val="HGSｺﾞｼｯｸM"/>
      <family val="2"/>
      <charset val="128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8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9" fontId="0" fillId="0" borderId="0" xfId="1" applyFont="1"/>
    <xf numFmtId="9" fontId="0" fillId="0" borderId="0" xfId="0" applyNumberFormat="1"/>
    <xf numFmtId="0" fontId="4" fillId="0" borderId="0" xfId="0" applyFont="1"/>
    <xf numFmtId="9" fontId="5" fillId="0" borderId="0" xfId="1" applyFont="1"/>
    <xf numFmtId="164" fontId="4" fillId="0" borderId="0" xfId="2" applyNumberFormat="1" applyFont="1" applyAlignment="1"/>
    <xf numFmtId="9" fontId="4" fillId="0" borderId="0" xfId="1" applyFont="1" applyAlignment="1"/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9851-D9F3-8948-A4F1-2E7F12F8FC44}">
  <dimension ref="A1:K20"/>
  <sheetViews>
    <sheetView workbookViewId="0">
      <selection activeCell="I5" sqref="I5"/>
    </sheetView>
  </sheetViews>
  <sheetFormatPr baseColWidth="10" defaultColWidth="11.5" defaultRowHeight="14"/>
  <cols>
    <col min="1" max="11" width="10.83203125" style="3" customWidth="1"/>
    <col min="12" max="16384" width="11.5" style="3"/>
  </cols>
  <sheetData>
    <row r="1" spans="1:11">
      <c r="D1" s="3" t="s">
        <v>0</v>
      </c>
      <c r="I1" s="3" t="s">
        <v>2</v>
      </c>
    </row>
    <row r="2" spans="1:11">
      <c r="A2" s="3" t="s">
        <v>9</v>
      </c>
      <c r="D2" s="3" t="s">
        <v>1</v>
      </c>
      <c r="E2" s="3">
        <v>5</v>
      </c>
      <c r="F2" s="3">
        <v>95</v>
      </c>
      <c r="I2" s="3" t="s">
        <v>1</v>
      </c>
      <c r="J2" s="3">
        <v>5</v>
      </c>
      <c r="K2" s="3">
        <v>95</v>
      </c>
    </row>
    <row r="3" spans="1:11">
      <c r="B3" s="3">
        <v>2030</v>
      </c>
      <c r="D3" s="3">
        <v>0.43</v>
      </c>
      <c r="E3" s="3">
        <v>0.34</v>
      </c>
      <c r="F3" s="3">
        <v>0.6</v>
      </c>
      <c r="I3" s="3">
        <v>0.48</v>
      </c>
      <c r="J3" s="3">
        <v>0.36</v>
      </c>
      <c r="K3" s="3">
        <v>0.69</v>
      </c>
    </row>
    <row r="4" spans="1:11">
      <c r="B4" s="3">
        <v>2035</v>
      </c>
      <c r="D4" s="3">
        <v>0.6</v>
      </c>
      <c r="E4" s="3">
        <v>0.49</v>
      </c>
      <c r="F4" s="3">
        <v>0.77</v>
      </c>
      <c r="I4" s="3">
        <v>0.65</v>
      </c>
      <c r="J4" s="3">
        <v>0.57999999999999996</v>
      </c>
      <c r="K4" s="3">
        <v>0.9</v>
      </c>
    </row>
    <row r="5" spans="1:11">
      <c r="B5" s="3">
        <v>2040</v>
      </c>
      <c r="D5" s="3">
        <v>0.69</v>
      </c>
      <c r="E5" s="3">
        <v>0.57999999999999996</v>
      </c>
      <c r="F5" s="3">
        <v>0.9</v>
      </c>
      <c r="I5" s="3">
        <v>0.8</v>
      </c>
      <c r="J5" s="3">
        <v>0.61</v>
      </c>
      <c r="K5" s="3">
        <v>1.0900000000000001</v>
      </c>
    </row>
    <row r="6" spans="1:11">
      <c r="B6" s="3">
        <v>2050</v>
      </c>
      <c r="D6" s="3">
        <v>0.84</v>
      </c>
      <c r="E6" s="3">
        <v>0.73</v>
      </c>
      <c r="F6" s="3">
        <v>0.98</v>
      </c>
      <c r="I6" s="3">
        <v>0.99</v>
      </c>
      <c r="J6" s="3">
        <v>0.79</v>
      </c>
      <c r="K6" s="3">
        <v>1.19</v>
      </c>
    </row>
    <row r="8" spans="1:11">
      <c r="C8" s="3" t="s">
        <v>26</v>
      </c>
      <c r="D8" s="3" t="s">
        <v>27</v>
      </c>
      <c r="H8" s="3" t="s">
        <v>26</v>
      </c>
    </row>
    <row r="9" spans="1:11">
      <c r="A9" s="3" t="s">
        <v>11</v>
      </c>
      <c r="B9" s="3">
        <v>2013</v>
      </c>
      <c r="C9" s="3">
        <v>1407.62947229939</v>
      </c>
      <c r="H9" s="3">
        <v>1317.4710704033189</v>
      </c>
    </row>
    <row r="10" spans="1:11">
      <c r="B10" s="3">
        <v>2019</v>
      </c>
      <c r="C10" s="3">
        <v>1209.748758886331</v>
      </c>
      <c r="D10" s="3">
        <v>-48.452401950388854</v>
      </c>
      <c r="E10" s="3">
        <f>C10+D10</f>
        <v>1161.2963569359422</v>
      </c>
      <c r="H10" s="3">
        <v>1106.5461632636459</v>
      </c>
    </row>
    <row r="12" spans="1:11">
      <c r="B12" s="3">
        <v>2030</v>
      </c>
      <c r="D12" s="3">
        <f t="shared" ref="D12:F15" si="0">$E$10*(1-D3)</f>
        <v>661.93892345348706</v>
      </c>
      <c r="E12" s="3">
        <f t="shared" si="0"/>
        <v>766.45559557772174</v>
      </c>
      <c r="F12" s="3">
        <f t="shared" si="0"/>
        <v>464.5185427743769</v>
      </c>
      <c r="I12" s="3">
        <f>$H$10*(1-I3)</f>
        <v>575.40400489709589</v>
      </c>
      <c r="J12" s="3">
        <f t="shared" ref="J12:K12" si="1">$H$10*(1-J3)</f>
        <v>708.18954448873342</v>
      </c>
      <c r="K12" s="3">
        <f t="shared" si="1"/>
        <v>343.0293106117303</v>
      </c>
    </row>
    <row r="13" spans="1:11">
      <c r="B13" s="3">
        <v>2035</v>
      </c>
      <c r="D13" s="3">
        <f t="shared" si="0"/>
        <v>464.5185427743769</v>
      </c>
      <c r="E13" s="3">
        <f t="shared" si="0"/>
        <v>592.2611420373305</v>
      </c>
      <c r="F13" s="3">
        <f t="shared" si="0"/>
        <v>267.09816209526667</v>
      </c>
      <c r="I13" s="3">
        <f>$H$10*(1-I4)</f>
        <v>387.29115714227606</v>
      </c>
      <c r="J13" s="3">
        <f t="shared" ref="J13:K15" si="2">$H$10*(1-J4)</f>
        <v>464.7493885707313</v>
      </c>
      <c r="K13" s="3">
        <f t="shared" si="2"/>
        <v>110.65461632636456</v>
      </c>
    </row>
    <row r="14" spans="1:11">
      <c r="B14" s="3">
        <v>2040</v>
      </c>
      <c r="D14" s="3">
        <f t="shared" si="0"/>
        <v>360.00187065014217</v>
      </c>
      <c r="E14" s="3">
        <f t="shared" si="0"/>
        <v>487.74446991309577</v>
      </c>
      <c r="F14" s="3">
        <f t="shared" si="0"/>
        <v>116.1296356935942</v>
      </c>
      <c r="I14" s="3">
        <f>$H$10*(1-I5)</f>
        <v>221.30923265272912</v>
      </c>
      <c r="J14" s="3">
        <f t="shared" si="2"/>
        <v>431.55300367282189</v>
      </c>
      <c r="K14" s="3">
        <f t="shared" si="2"/>
        <v>-99.589154693728219</v>
      </c>
    </row>
    <row r="15" spans="1:11">
      <c r="B15" s="3">
        <v>2050</v>
      </c>
      <c r="D15" s="3">
        <f t="shared" si="0"/>
        <v>185.80741710975079</v>
      </c>
      <c r="E15" s="3">
        <f t="shared" si="0"/>
        <v>313.55001637270442</v>
      </c>
      <c r="F15" s="3">
        <f t="shared" si="0"/>
        <v>23.225927138718863</v>
      </c>
      <c r="I15" s="3">
        <f>$H$10*(1-I6)</f>
        <v>11.065461632636469</v>
      </c>
      <c r="J15" s="3">
        <f t="shared" si="2"/>
        <v>232.37469428536559</v>
      </c>
      <c r="K15" s="3">
        <f t="shared" si="2"/>
        <v>-210.24377102009265</v>
      </c>
    </row>
    <row r="17" spans="1:11">
      <c r="A17" s="3" t="s">
        <v>10</v>
      </c>
      <c r="B17" s="3">
        <v>2030</v>
      </c>
      <c r="D17" s="4">
        <f>1-D12/$C$9</f>
        <v>0.52974917300346314</v>
      </c>
      <c r="E17" s="4">
        <f>1-E12/$C$9</f>
        <v>0.45549904242506256</v>
      </c>
      <c r="F17" s="4">
        <f>1-F12/$C$9</f>
        <v>0.66999941965155307</v>
      </c>
      <c r="G17" s="4"/>
      <c r="H17" s="4"/>
      <c r="I17" s="4">
        <f>1-I12/$H$9</f>
        <v>0.56325112723655724</v>
      </c>
      <c r="J17" s="4">
        <f t="shared" ref="J17:K17" si="3">1-J12/$H$9</f>
        <v>0.46246292582960891</v>
      </c>
      <c r="K17" s="4">
        <f t="shared" si="3"/>
        <v>0.73963047969871676</v>
      </c>
    </row>
    <row r="18" spans="1:11">
      <c r="B18" s="3">
        <v>2035</v>
      </c>
      <c r="D18" s="4">
        <f t="shared" ref="D18:F18" si="4">1-D13/$C$9</f>
        <v>0.66999941965155307</v>
      </c>
      <c r="E18" s="4">
        <f t="shared" si="4"/>
        <v>0.57924926005573019</v>
      </c>
      <c r="F18" s="4">
        <f t="shared" si="4"/>
        <v>0.81024966629964301</v>
      </c>
      <c r="G18" s="4"/>
      <c r="H18" s="4"/>
      <c r="I18" s="4">
        <f>1-I13/$H$9</f>
        <v>0.70603441256306732</v>
      </c>
      <c r="J18" s="4">
        <f t="shared" ref="J18:K18" si="5">1-J13/$H$9</f>
        <v>0.64724129507568084</v>
      </c>
      <c r="K18" s="4">
        <f t="shared" si="5"/>
        <v>0.91600983216087639</v>
      </c>
    </row>
    <row r="19" spans="1:11">
      <c r="B19" s="3">
        <v>2040</v>
      </c>
      <c r="D19" s="4">
        <f t="shared" ref="D19:F19" si="6">1-D14/$C$9</f>
        <v>0.74424955022995354</v>
      </c>
      <c r="E19" s="4">
        <f t="shared" si="6"/>
        <v>0.65349939063413065</v>
      </c>
      <c r="F19" s="4">
        <f t="shared" si="6"/>
        <v>0.91749985491288832</v>
      </c>
      <c r="G19" s="4"/>
      <c r="H19" s="4"/>
      <c r="I19" s="4">
        <f>1-I14/$H$9</f>
        <v>0.83201966432175278</v>
      </c>
      <c r="J19" s="4">
        <f t="shared" ref="J19:K19" si="7">1-J14/$H$9</f>
        <v>0.67243834542741787</v>
      </c>
      <c r="K19" s="4">
        <f t="shared" si="7"/>
        <v>1.0755911510552114</v>
      </c>
    </row>
    <row r="20" spans="1:11">
      <c r="B20" s="3">
        <v>2050</v>
      </c>
      <c r="D20" s="4">
        <f t="shared" ref="D20:F20" si="8">1-D15/$C$9</f>
        <v>0.86799976786062116</v>
      </c>
      <c r="E20" s="4">
        <f t="shared" si="8"/>
        <v>0.77724960826479828</v>
      </c>
      <c r="F20" s="4">
        <f t="shared" si="8"/>
        <v>0.98349997098257769</v>
      </c>
      <c r="G20" s="4"/>
      <c r="H20" s="4"/>
      <c r="I20" s="4">
        <f>1-I15/$H$9</f>
        <v>0.99160098321608758</v>
      </c>
      <c r="J20" s="4">
        <f t="shared" ref="J20:K20" si="9">1-J15/$H$9</f>
        <v>0.82362064753784048</v>
      </c>
      <c r="K20" s="4">
        <f t="shared" si="9"/>
        <v>1.1595813188943347</v>
      </c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7DAF-E21F-7A4F-9B3D-875BB54ECB09}">
  <dimension ref="A1:I49"/>
  <sheetViews>
    <sheetView workbookViewId="0">
      <selection activeCell="H36" sqref="H36"/>
    </sheetView>
  </sheetViews>
  <sheetFormatPr baseColWidth="10" defaultColWidth="11.5" defaultRowHeight="16"/>
  <sheetData>
    <row r="1" spans="1:2">
      <c r="A1" t="s">
        <v>3</v>
      </c>
      <c r="B1" t="s">
        <v>4</v>
      </c>
    </row>
    <row r="2" spans="1:2">
      <c r="A2">
        <v>1990</v>
      </c>
      <c r="B2">
        <v>39.704839210613493</v>
      </c>
    </row>
    <row r="3" spans="1:2">
      <c r="A3">
        <v>1991</v>
      </c>
      <c r="B3">
        <v>40.832326873799559</v>
      </c>
    </row>
    <row r="4" spans="1:2">
      <c r="A4">
        <v>1992</v>
      </c>
      <c r="B4">
        <v>40.310788422968891</v>
      </c>
    </row>
    <row r="5" spans="1:2">
      <c r="A5">
        <v>1993</v>
      </c>
      <c r="B5">
        <v>39.987032277684598</v>
      </c>
    </row>
    <row r="6" spans="1:2">
      <c r="A6">
        <v>1994</v>
      </c>
      <c r="B6">
        <v>40.398178867480738</v>
      </c>
    </row>
    <row r="7" spans="1:2">
      <c r="A7">
        <v>1995</v>
      </c>
      <c r="B7">
        <v>40.764659609028968</v>
      </c>
    </row>
    <row r="8" spans="1:2">
      <c r="A8">
        <v>1996</v>
      </c>
      <c r="B8">
        <v>41.299511858276887</v>
      </c>
    </row>
    <row r="9" spans="1:2">
      <c r="A9">
        <v>1997</v>
      </c>
      <c r="B9">
        <v>44.94360260222485</v>
      </c>
    </row>
    <row r="10" spans="1:2">
      <c r="A10">
        <v>1998</v>
      </c>
      <c r="B10">
        <v>42.103669155307728</v>
      </c>
    </row>
    <row r="11" spans="1:2">
      <c r="A11">
        <v>1999</v>
      </c>
      <c r="B11">
        <v>41.288707555765903</v>
      </c>
    </row>
    <row r="12" spans="1:2">
      <c r="A12">
        <v>2000</v>
      </c>
      <c r="B12">
        <v>41.724115611494597</v>
      </c>
    </row>
    <row r="13" spans="1:2">
      <c r="A13">
        <v>2001</v>
      </c>
      <c r="B13">
        <v>41.197943978295498</v>
      </c>
    </row>
    <row r="14" spans="1:2">
      <c r="A14">
        <v>2002</v>
      </c>
      <c r="B14">
        <v>42.509182159318698</v>
      </c>
    </row>
    <row r="15" spans="1:2">
      <c r="A15">
        <v>2003</v>
      </c>
      <c r="B15">
        <v>43.347484508953102</v>
      </c>
    </row>
    <row r="16" spans="1:2">
      <c r="A16">
        <v>2004</v>
      </c>
      <c r="B16">
        <v>45.676137030616196</v>
      </c>
    </row>
    <row r="17" spans="1:7">
      <c r="A17">
        <v>2005</v>
      </c>
      <c r="B17">
        <v>46.947769944452197</v>
      </c>
    </row>
    <row r="18" spans="1:7">
      <c r="A18">
        <v>2006</v>
      </c>
      <c r="B18">
        <v>48.545396561544599</v>
      </c>
    </row>
    <row r="19" spans="1:7">
      <c r="A19">
        <v>2007</v>
      </c>
      <c r="B19">
        <v>49.075927823076903</v>
      </c>
    </row>
    <row r="20" spans="1:7">
      <c r="A20">
        <v>2008</v>
      </c>
      <c r="B20">
        <v>48.3778250588296</v>
      </c>
    </row>
    <row r="21" spans="1:7">
      <c r="A21">
        <v>2009</v>
      </c>
      <c r="B21">
        <v>48.389613273852397</v>
      </c>
    </row>
    <row r="22" spans="1:7">
      <c r="A22">
        <v>2010</v>
      </c>
      <c r="B22">
        <v>50.522063782599197</v>
      </c>
    </row>
    <row r="23" spans="1:7">
      <c r="A23">
        <v>2011</v>
      </c>
      <c r="B23">
        <v>51.790543044000202</v>
      </c>
    </row>
    <row r="24" spans="1:7">
      <c r="A24">
        <v>2012</v>
      </c>
      <c r="B24">
        <v>52.776041193685003</v>
      </c>
    </row>
    <row r="25" spans="1:7">
      <c r="A25">
        <v>2013</v>
      </c>
      <c r="B25">
        <v>53.605424610177998</v>
      </c>
    </row>
    <row r="26" spans="1:7">
      <c r="A26">
        <v>2014</v>
      </c>
      <c r="B26">
        <v>54.801653686039991</v>
      </c>
    </row>
    <row r="27" spans="1:7">
      <c r="A27">
        <v>2015</v>
      </c>
      <c r="B27">
        <v>54.502567939080002</v>
      </c>
    </row>
    <row r="29" spans="1:7">
      <c r="A29">
        <v>2019</v>
      </c>
      <c r="B29">
        <v>59.09</v>
      </c>
      <c r="D29">
        <v>52.49</v>
      </c>
      <c r="E29">
        <v>65.69</v>
      </c>
    </row>
    <row r="31" spans="1:7">
      <c r="A31" t="s">
        <v>5</v>
      </c>
      <c r="C31" t="s">
        <v>6</v>
      </c>
      <c r="D31" t="s">
        <v>7</v>
      </c>
      <c r="E31" t="s">
        <v>8</v>
      </c>
    </row>
    <row r="32" spans="1:7">
      <c r="A32">
        <v>2015</v>
      </c>
      <c r="C32">
        <v>54.308531541230003</v>
      </c>
      <c r="D32">
        <v>54.308531541230003</v>
      </c>
      <c r="E32">
        <v>54.308531541230003</v>
      </c>
      <c r="G32" t="s">
        <v>12</v>
      </c>
    </row>
    <row r="33" spans="1:9">
      <c r="A33">
        <v>2020</v>
      </c>
      <c r="C33">
        <v>55.091530545515731</v>
      </c>
      <c r="D33">
        <v>52.191805558288557</v>
      </c>
      <c r="E33">
        <v>57.998094791934847</v>
      </c>
      <c r="G33" t="s">
        <v>1</v>
      </c>
      <c r="H33" s="2" t="s">
        <v>13</v>
      </c>
      <c r="I33" s="2" t="s">
        <v>14</v>
      </c>
    </row>
    <row r="34" spans="1:9">
      <c r="A34">
        <v>2025</v>
      </c>
      <c r="C34">
        <v>41.766975335913109</v>
      </c>
      <c r="D34">
        <v>33.997744709457209</v>
      </c>
      <c r="E34">
        <v>50.888734244650998</v>
      </c>
      <c r="G34" s="1">
        <f>1-C34/$B$29</f>
        <v>0.29316338913668794</v>
      </c>
      <c r="H34" s="1">
        <f>1-D34/$B$29</f>
        <v>0.4246446994507157</v>
      </c>
      <c r="I34" s="1">
        <f>1-E34/$B$29</f>
        <v>0.13879278651800653</v>
      </c>
    </row>
    <row r="35" spans="1:9">
      <c r="A35">
        <v>2030</v>
      </c>
      <c r="C35">
        <v>31.45380826552076</v>
      </c>
      <c r="D35">
        <v>21.490911854119521</v>
      </c>
      <c r="E35">
        <v>36.154463922470207</v>
      </c>
      <c r="G35" s="1">
        <f t="shared" ref="G35:G39" si="0">1-C35/$B$29</f>
        <v>0.46769659391570895</v>
      </c>
      <c r="H35" s="1">
        <f t="shared" ref="H35:H39" si="1">1-D35/$B$29</f>
        <v>0.63630205019259578</v>
      </c>
      <c r="I35" s="1">
        <f t="shared" ref="I35:I39" si="2">1-E35/$B$29</f>
        <v>0.38814581278608551</v>
      </c>
    </row>
    <row r="36" spans="1:9">
      <c r="A36">
        <v>2035</v>
      </c>
      <c r="C36">
        <v>22.258223396543471</v>
      </c>
      <c r="D36">
        <v>12.608351836219031</v>
      </c>
      <c r="E36">
        <v>28.572813696768321</v>
      </c>
      <c r="G36" s="1">
        <f t="shared" si="0"/>
        <v>0.62331657815969765</v>
      </c>
      <c r="H36" s="1">
        <f t="shared" si="1"/>
        <v>0.78662460930412881</v>
      </c>
      <c r="I36" s="1">
        <f t="shared" si="2"/>
        <v>0.51645263671063935</v>
      </c>
    </row>
    <row r="37" spans="1:9">
      <c r="A37">
        <v>2040</v>
      </c>
      <c r="C37">
        <v>17.139857209305632</v>
      </c>
      <c r="D37">
        <v>5.5877220947632544</v>
      </c>
      <c r="E37">
        <v>23.194161229962059</v>
      </c>
      <c r="G37" s="1">
        <f t="shared" si="0"/>
        <v>0.70993641547968134</v>
      </c>
      <c r="H37" s="1">
        <f t="shared" si="1"/>
        <v>0.9054370943516119</v>
      </c>
      <c r="I37" s="1">
        <f t="shared" si="2"/>
        <v>0.60747738652966565</v>
      </c>
    </row>
    <row r="38" spans="1:9">
      <c r="A38">
        <v>2045</v>
      </c>
      <c r="C38">
        <v>12.159819561272471</v>
      </c>
      <c r="D38">
        <v>3.812216981781253</v>
      </c>
      <c r="E38">
        <v>19.1801027382506</v>
      </c>
      <c r="G38" s="1">
        <f t="shared" si="0"/>
        <v>0.79421527227496247</v>
      </c>
      <c r="H38" s="1">
        <f t="shared" si="1"/>
        <v>0.93548456622472076</v>
      </c>
      <c r="I38" s="1">
        <f t="shared" si="2"/>
        <v>0.67540865225502456</v>
      </c>
    </row>
    <row r="39" spans="1:9">
      <c r="A39">
        <v>2050</v>
      </c>
      <c r="C39">
        <v>8.5861227507176778</v>
      </c>
      <c r="D39">
        <v>0.99933038256265339</v>
      </c>
      <c r="E39">
        <v>14.701371778754231</v>
      </c>
      <c r="G39" s="1">
        <f t="shared" si="0"/>
        <v>0.85469414874398919</v>
      </c>
      <c r="H39" s="1">
        <f t="shared" si="1"/>
        <v>0.98308799487963017</v>
      </c>
      <c r="I39" s="1">
        <f t="shared" si="2"/>
        <v>0.75120372687841885</v>
      </c>
    </row>
    <row r="40" spans="1:9">
      <c r="A40">
        <v>2055</v>
      </c>
      <c r="C40">
        <v>6.3376238317433913</v>
      </c>
      <c r="D40">
        <v>-0.4226789543158741</v>
      </c>
      <c r="E40">
        <v>11.61633341263202</v>
      </c>
    </row>
    <row r="41" spans="1:9">
      <c r="A41">
        <v>2060</v>
      </c>
      <c r="C41">
        <v>5.4718947656480994</v>
      </c>
      <c r="D41">
        <v>-1.9523999636325959</v>
      </c>
      <c r="E41">
        <v>9.7216790931062871</v>
      </c>
    </row>
    <row r="42" spans="1:9">
      <c r="A42">
        <v>2065</v>
      </c>
      <c r="C42">
        <v>4.8337884129693371</v>
      </c>
      <c r="D42">
        <v>-3.4561847438867739</v>
      </c>
      <c r="E42">
        <v>8.7809503386138221</v>
      </c>
    </row>
    <row r="43" spans="1:9">
      <c r="A43">
        <v>2070</v>
      </c>
      <c r="C43">
        <v>3.5195276849100088</v>
      </c>
      <c r="D43">
        <v>-5.4695405989342731</v>
      </c>
      <c r="E43">
        <v>8.2963547021959556</v>
      </c>
    </row>
    <row r="44" spans="1:9">
      <c r="A44">
        <v>2075</v>
      </c>
      <c r="C44">
        <v>3.2761323804108309</v>
      </c>
      <c r="D44">
        <v>-6.3299618414811816</v>
      </c>
      <c r="E44">
        <v>8.1577496481100731</v>
      </c>
    </row>
    <row r="45" spans="1:9">
      <c r="A45">
        <v>2080</v>
      </c>
      <c r="C45">
        <v>2.2438002680727722</v>
      </c>
      <c r="D45">
        <v>-7.5036289647692129</v>
      </c>
      <c r="E45">
        <v>8.0387252093775086</v>
      </c>
    </row>
    <row r="46" spans="1:9">
      <c r="A46">
        <v>2085</v>
      </c>
      <c r="C46">
        <v>0.87057177509333972</v>
      </c>
      <c r="D46">
        <v>-8.6996644160325953</v>
      </c>
      <c r="E46">
        <v>7.846905331472712</v>
      </c>
    </row>
    <row r="47" spans="1:9">
      <c r="A47">
        <v>2090</v>
      </c>
      <c r="C47">
        <v>0.1943816355828403</v>
      </c>
      <c r="D47">
        <v>-9.8822911707845051</v>
      </c>
      <c r="E47">
        <v>7.6371294812710202</v>
      </c>
    </row>
    <row r="48" spans="1:9">
      <c r="A48">
        <v>2095</v>
      </c>
      <c r="C48">
        <v>0.54351992879985012</v>
      </c>
      <c r="D48">
        <v>-9.863495537806795</v>
      </c>
      <c r="E48">
        <v>7.5632548999839857</v>
      </c>
    </row>
    <row r="49" spans="1:5">
      <c r="A49">
        <v>2100</v>
      </c>
      <c r="C49">
        <v>-7.3193374035429831E-2</v>
      </c>
      <c r="D49">
        <v>-10.296506628996649</v>
      </c>
      <c r="E49">
        <v>7.4857579709047366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8972-014D-4CFD-B329-CBB89AF19415}">
  <dimension ref="A1:W32"/>
  <sheetViews>
    <sheetView workbookViewId="0">
      <selection activeCell="K35" sqref="K35"/>
    </sheetView>
  </sheetViews>
  <sheetFormatPr baseColWidth="10" defaultColWidth="8.83203125" defaultRowHeight="14"/>
  <cols>
    <col min="1" max="1" width="8.83203125" style="3"/>
    <col min="2" max="18" width="6.83203125" style="3" customWidth="1"/>
    <col min="19" max="16384" width="8.83203125" style="3"/>
  </cols>
  <sheetData>
    <row r="1" spans="1:23">
      <c r="A1" s="3" t="s">
        <v>32</v>
      </c>
      <c r="B1" s="3" t="s">
        <v>30</v>
      </c>
      <c r="C1" s="3" t="s">
        <v>29</v>
      </c>
      <c r="D1" s="3" t="s">
        <v>31</v>
      </c>
      <c r="E1" s="3" t="s">
        <v>34</v>
      </c>
      <c r="F1" s="3" t="s">
        <v>33</v>
      </c>
      <c r="G1" s="3" t="s">
        <v>25</v>
      </c>
      <c r="H1" s="3" t="s">
        <v>35</v>
      </c>
      <c r="I1" s="3" t="s">
        <v>36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U1" s="3" t="s">
        <v>28</v>
      </c>
      <c r="V1" s="3" t="s">
        <v>27</v>
      </c>
      <c r="W1" s="3" t="s">
        <v>24</v>
      </c>
    </row>
    <row r="2" spans="1:23">
      <c r="A2" s="3">
        <v>2020</v>
      </c>
      <c r="B2" s="5">
        <f>SUM(J2:O2)+Q2</f>
        <v>1250.6783983171672</v>
      </c>
      <c r="C2" s="5">
        <f>SUM(J2:N2)+Q2</f>
        <v>1067.9959477320842</v>
      </c>
      <c r="D2" s="5">
        <f>B2+P2</f>
        <v>1200.8783983171672</v>
      </c>
      <c r="E2" s="6">
        <f>1-D2/$U$2</f>
        <v>0.14687890389541991</v>
      </c>
      <c r="F2" s="6">
        <f>1-D2/($U$3+$V$3)</f>
        <v>-3.4084358522971314E-2</v>
      </c>
      <c r="G2" s="5">
        <f>C2+P2</f>
        <v>1018.1959477320843</v>
      </c>
      <c r="H2" s="6">
        <f>1-G2/$W$2</f>
        <v>0.22715878123958899</v>
      </c>
      <c r="I2" s="6">
        <f>1-G2/($W$3+$V$3)</f>
        <v>3.7707257182627685E-2</v>
      </c>
      <c r="J2" s="5">
        <v>16.904885155609829</v>
      </c>
      <c r="K2" s="5">
        <v>463.48062398647039</v>
      </c>
      <c r="L2" s="5">
        <v>261.63608126708783</v>
      </c>
      <c r="M2" s="5">
        <v>202.2446930590221</v>
      </c>
      <c r="N2" s="5">
        <v>123.72966426389408</v>
      </c>
      <c r="O2" s="5">
        <v>182.68245058508305</v>
      </c>
      <c r="P2" s="5">
        <v>-49.8</v>
      </c>
      <c r="Q2" s="5">
        <v>0</v>
      </c>
      <c r="R2" s="5">
        <v>0</v>
      </c>
      <c r="T2" s="3">
        <v>2013</v>
      </c>
      <c r="U2" s="3">
        <v>1407.62947229939</v>
      </c>
      <c r="W2" s="3">
        <v>1317.4710704033189</v>
      </c>
    </row>
    <row r="3" spans="1:23">
      <c r="A3" s="3">
        <v>2021</v>
      </c>
      <c r="B3" s="5">
        <f t="shared" ref="B3:B32" si="0">SUM(J3:O3)+Q3</f>
        <v>1190.9827192781866</v>
      </c>
      <c r="C3" s="5">
        <f t="shared" ref="C3:C32" si="1">SUM(J3:N3)+Q3</f>
        <v>1012.7797622545306</v>
      </c>
      <c r="D3" s="5">
        <f t="shared" ref="D3:D32" si="2">B3+P3</f>
        <v>1141.3927192781866</v>
      </c>
      <c r="E3" s="6">
        <f t="shared" ref="E3:E32" si="3">1-D3/$U$2</f>
        <v>0.18913837644099663</v>
      </c>
      <c r="F3" s="6">
        <f t="shared" ref="F3:F32" si="4">1-D3/($U$3+$V$3)</f>
        <v>1.7139154479284602E-2</v>
      </c>
      <c r="G3" s="5">
        <f t="shared" ref="G3:G32" si="5">C3+P3</f>
        <v>963.18976225453059</v>
      </c>
      <c r="H3" s="6">
        <f t="shared" ref="H3:H32" si="6">1-G3/$W$2</f>
        <v>0.26891012342330356</v>
      </c>
      <c r="I3" s="6">
        <f t="shared" ref="I3:I32" si="7">1-G3/($W$3+$V$3)</f>
        <v>8.9693373620250871E-2</v>
      </c>
      <c r="J3" s="5">
        <v>16.782965277077334</v>
      </c>
      <c r="K3" s="5">
        <v>429.79718758771145</v>
      </c>
      <c r="L3" s="5">
        <v>252.49322002717179</v>
      </c>
      <c r="M3" s="5">
        <v>194.43420920844039</v>
      </c>
      <c r="N3" s="5">
        <v>119.27218015412956</v>
      </c>
      <c r="O3" s="5">
        <v>178.20295702365584</v>
      </c>
      <c r="P3" s="5">
        <v>-49.589999999999996</v>
      </c>
      <c r="Q3" s="5">
        <v>0</v>
      </c>
      <c r="R3" s="5">
        <v>0</v>
      </c>
      <c r="T3" s="3">
        <v>2019</v>
      </c>
      <c r="U3" s="3">
        <v>1209.748758886331</v>
      </c>
      <c r="V3" s="3">
        <v>-48.452401950388854</v>
      </c>
      <c r="W3" s="3">
        <v>1106.5461632636459</v>
      </c>
    </row>
    <row r="4" spans="1:23">
      <c r="A4" s="3">
        <v>2022</v>
      </c>
      <c r="B4" s="5">
        <f t="shared" si="0"/>
        <v>1131.2870402392055</v>
      </c>
      <c r="C4" s="5">
        <f t="shared" si="1"/>
        <v>957.5635767769769</v>
      </c>
      <c r="D4" s="5">
        <f t="shared" si="2"/>
        <v>1081.9070402392053</v>
      </c>
      <c r="E4" s="6">
        <f t="shared" si="3"/>
        <v>0.23139784898657367</v>
      </c>
      <c r="F4" s="6">
        <f t="shared" si="4"/>
        <v>6.8362667481541073E-2</v>
      </c>
      <c r="G4" s="5">
        <f t="shared" si="5"/>
        <v>908.18357677697691</v>
      </c>
      <c r="H4" s="6">
        <f t="shared" si="6"/>
        <v>0.31066146560701813</v>
      </c>
      <c r="I4" s="6">
        <f t="shared" si="7"/>
        <v>0.14167949005787406</v>
      </c>
      <c r="J4" s="5">
        <v>16.661045398544839</v>
      </c>
      <c r="K4" s="5">
        <v>396.11375118895251</v>
      </c>
      <c r="L4" s="5">
        <v>243.35035878725574</v>
      </c>
      <c r="M4" s="5">
        <v>186.62372535785869</v>
      </c>
      <c r="N4" s="5">
        <v>114.81469604436504</v>
      </c>
      <c r="O4" s="5">
        <v>173.72346346222864</v>
      </c>
      <c r="P4" s="5">
        <v>-49.379999999999995</v>
      </c>
      <c r="Q4" s="5">
        <v>0</v>
      </c>
      <c r="R4" s="5">
        <v>0</v>
      </c>
    </row>
    <row r="5" spans="1:23">
      <c r="A5" s="3">
        <v>2023</v>
      </c>
      <c r="B5" s="5">
        <f t="shared" si="0"/>
        <v>1071.5913612002246</v>
      </c>
      <c r="C5" s="5">
        <f t="shared" si="1"/>
        <v>902.34739129942318</v>
      </c>
      <c r="D5" s="5">
        <f t="shared" si="2"/>
        <v>1022.4213612002246</v>
      </c>
      <c r="E5" s="6">
        <f t="shared" si="3"/>
        <v>0.27365732153215039</v>
      </c>
      <c r="F5" s="6">
        <f t="shared" si="4"/>
        <v>0.11958618048379699</v>
      </c>
      <c r="G5" s="5">
        <f t="shared" si="5"/>
        <v>853.17739129942322</v>
      </c>
      <c r="H5" s="6">
        <f t="shared" si="6"/>
        <v>0.3524128077907327</v>
      </c>
      <c r="I5" s="6">
        <f t="shared" si="7"/>
        <v>0.19366560649549736</v>
      </c>
      <c r="J5" s="5">
        <v>16.539125520012345</v>
      </c>
      <c r="K5" s="5">
        <v>362.43031479019356</v>
      </c>
      <c r="L5" s="5">
        <v>234.2074975473397</v>
      </c>
      <c r="M5" s="5">
        <v>178.81324150727696</v>
      </c>
      <c r="N5" s="5">
        <v>110.35721193460053</v>
      </c>
      <c r="O5" s="5">
        <v>169.24396990080143</v>
      </c>
      <c r="P5" s="5">
        <v>-49.169999999999995</v>
      </c>
      <c r="Q5" s="5">
        <v>0</v>
      </c>
      <c r="R5" s="5">
        <v>0</v>
      </c>
    </row>
    <row r="6" spans="1:23">
      <c r="A6" s="3">
        <v>2024</v>
      </c>
      <c r="B6" s="5">
        <f t="shared" si="0"/>
        <v>1011.8956821612436</v>
      </c>
      <c r="C6" s="5">
        <f t="shared" si="1"/>
        <v>847.13120582186934</v>
      </c>
      <c r="D6" s="5">
        <f t="shared" si="2"/>
        <v>962.93568216124356</v>
      </c>
      <c r="E6" s="6">
        <f t="shared" si="3"/>
        <v>0.31591679407772744</v>
      </c>
      <c r="F6" s="6">
        <f t="shared" si="4"/>
        <v>0.17080969348605324</v>
      </c>
      <c r="G6" s="5">
        <f t="shared" si="5"/>
        <v>798.17120582186931</v>
      </c>
      <c r="H6" s="6">
        <f t="shared" si="6"/>
        <v>0.39416414997444749</v>
      </c>
      <c r="I6" s="6">
        <f t="shared" si="7"/>
        <v>0.24565172293312076</v>
      </c>
      <c r="J6" s="5">
        <v>16.41720564147985</v>
      </c>
      <c r="K6" s="5">
        <v>328.74687839143462</v>
      </c>
      <c r="L6" s="5">
        <v>225.06463630742365</v>
      </c>
      <c r="M6" s="5">
        <v>171.00275765669522</v>
      </c>
      <c r="N6" s="5">
        <v>105.89972782483602</v>
      </c>
      <c r="O6" s="5">
        <v>164.76447633937423</v>
      </c>
      <c r="P6" s="5">
        <v>-48.959999999999994</v>
      </c>
      <c r="Q6" s="5">
        <v>0</v>
      </c>
      <c r="R6" s="5">
        <v>0</v>
      </c>
    </row>
    <row r="7" spans="1:23">
      <c r="A7" s="3">
        <v>2025</v>
      </c>
      <c r="B7" s="5">
        <f t="shared" si="0"/>
        <v>952.20000312226273</v>
      </c>
      <c r="C7" s="5">
        <f t="shared" si="1"/>
        <v>791.91502034431574</v>
      </c>
      <c r="D7" s="5">
        <f t="shared" si="2"/>
        <v>903.45000312226273</v>
      </c>
      <c r="E7" s="6">
        <f t="shared" si="3"/>
        <v>0.35817626662330415</v>
      </c>
      <c r="F7" s="6">
        <f t="shared" si="4"/>
        <v>0.22203320648830938</v>
      </c>
      <c r="G7" s="5">
        <f t="shared" si="5"/>
        <v>743.16502034431574</v>
      </c>
      <c r="H7" s="6">
        <f t="shared" si="6"/>
        <v>0.43591549215816194</v>
      </c>
      <c r="I7" s="6">
        <f t="shared" si="7"/>
        <v>0.29763783937074384</v>
      </c>
      <c r="J7" s="5">
        <v>16.295285762947355</v>
      </c>
      <c r="K7" s="5">
        <v>295.06344199267568</v>
      </c>
      <c r="L7" s="5">
        <v>215.92177506750761</v>
      </c>
      <c r="M7" s="5">
        <v>163.19227380611352</v>
      </c>
      <c r="N7" s="5">
        <v>101.4422437150715</v>
      </c>
      <c r="O7" s="5">
        <v>160.28498277794702</v>
      </c>
      <c r="P7" s="5">
        <v>-48.749999999999993</v>
      </c>
      <c r="Q7" s="5">
        <v>0</v>
      </c>
      <c r="R7" s="5">
        <v>0</v>
      </c>
    </row>
    <row r="8" spans="1:23">
      <c r="A8" s="3">
        <v>2026</v>
      </c>
      <c r="B8" s="5">
        <f t="shared" si="0"/>
        <v>892.50432408328186</v>
      </c>
      <c r="C8" s="5">
        <f t="shared" si="1"/>
        <v>736.69883486676201</v>
      </c>
      <c r="D8" s="5">
        <f t="shared" si="2"/>
        <v>843.96432408328189</v>
      </c>
      <c r="E8" s="6">
        <f t="shared" si="3"/>
        <v>0.40043573916888098</v>
      </c>
      <c r="F8" s="6">
        <f t="shared" si="4"/>
        <v>0.2732567194905654</v>
      </c>
      <c r="G8" s="5">
        <f t="shared" si="5"/>
        <v>688.15883486676205</v>
      </c>
      <c r="H8" s="6">
        <f t="shared" si="6"/>
        <v>0.47766683434187651</v>
      </c>
      <c r="I8" s="6">
        <f t="shared" si="7"/>
        <v>0.34962395580836703</v>
      </c>
      <c r="J8" s="5">
        <v>16.17336588441486</v>
      </c>
      <c r="K8" s="5">
        <v>261.38000559391674</v>
      </c>
      <c r="L8" s="5">
        <v>206.77891382759157</v>
      </c>
      <c r="M8" s="5">
        <v>155.38178995553181</v>
      </c>
      <c r="N8" s="5">
        <v>96.984759605306976</v>
      </c>
      <c r="O8" s="5">
        <v>155.80548921651982</v>
      </c>
      <c r="P8" s="5">
        <v>-48.539999999999992</v>
      </c>
      <c r="Q8" s="5">
        <v>0</v>
      </c>
      <c r="R8" s="5">
        <v>0</v>
      </c>
    </row>
    <row r="9" spans="1:23">
      <c r="A9" s="3">
        <v>2027</v>
      </c>
      <c r="B9" s="5">
        <f t="shared" si="0"/>
        <v>832.80864504430076</v>
      </c>
      <c r="C9" s="5">
        <f t="shared" si="1"/>
        <v>681.48264938920818</v>
      </c>
      <c r="D9" s="5">
        <f t="shared" si="2"/>
        <v>784.47864504430072</v>
      </c>
      <c r="E9" s="6">
        <f t="shared" si="3"/>
        <v>0.44269521171445803</v>
      </c>
      <c r="F9" s="6">
        <f t="shared" si="4"/>
        <v>0.32448023249282176</v>
      </c>
      <c r="G9" s="5">
        <f t="shared" si="5"/>
        <v>633.15264938920814</v>
      </c>
      <c r="H9" s="6">
        <f t="shared" si="6"/>
        <v>0.51941817652559119</v>
      </c>
      <c r="I9" s="6">
        <f t="shared" si="7"/>
        <v>0.40161007224599043</v>
      </c>
      <c r="J9" s="5">
        <v>16.051446005882365</v>
      </c>
      <c r="K9" s="5">
        <v>227.69656919515779</v>
      </c>
      <c r="L9" s="5">
        <v>197.63605258767552</v>
      </c>
      <c r="M9" s="5">
        <v>147.57130610495008</v>
      </c>
      <c r="N9" s="5">
        <v>92.527275495542469</v>
      </c>
      <c r="O9" s="5">
        <v>151.32599565509261</v>
      </c>
      <c r="P9" s="5">
        <v>-48.329999999999991</v>
      </c>
      <c r="Q9" s="5">
        <v>0</v>
      </c>
      <c r="R9" s="5">
        <v>0</v>
      </c>
    </row>
    <row r="10" spans="1:23">
      <c r="A10" s="3">
        <v>2028</v>
      </c>
      <c r="B10" s="5">
        <f t="shared" si="0"/>
        <v>773.11296600532</v>
      </c>
      <c r="C10" s="5">
        <f t="shared" si="1"/>
        <v>626.26646391165457</v>
      </c>
      <c r="D10" s="5">
        <f t="shared" si="2"/>
        <v>724.99296600532</v>
      </c>
      <c r="E10" s="6">
        <f t="shared" si="3"/>
        <v>0.48495468426003474</v>
      </c>
      <c r="F10" s="6">
        <f t="shared" si="4"/>
        <v>0.37570374549507779</v>
      </c>
      <c r="G10" s="5">
        <f t="shared" si="5"/>
        <v>578.14646391165456</v>
      </c>
      <c r="H10" s="6">
        <f t="shared" si="6"/>
        <v>0.56116951870930576</v>
      </c>
      <c r="I10" s="6">
        <f t="shared" si="7"/>
        <v>0.45359618868361362</v>
      </c>
      <c r="J10" s="5">
        <v>15.92952612734987</v>
      </c>
      <c r="K10" s="5">
        <v>194.01313279639885</v>
      </c>
      <c r="L10" s="5">
        <v>188.49319134775948</v>
      </c>
      <c r="M10" s="5">
        <v>139.76082225436835</v>
      </c>
      <c r="N10" s="5">
        <v>88.069791385777961</v>
      </c>
      <c r="O10" s="5">
        <v>146.84650209366541</v>
      </c>
      <c r="P10" s="5">
        <v>-48.11999999999999</v>
      </c>
      <c r="Q10" s="5">
        <v>0</v>
      </c>
      <c r="R10" s="5">
        <v>0</v>
      </c>
    </row>
    <row r="11" spans="1:23">
      <c r="A11" s="3">
        <v>2029</v>
      </c>
      <c r="B11" s="5">
        <f t="shared" si="0"/>
        <v>713.41728696633902</v>
      </c>
      <c r="C11" s="5">
        <f t="shared" si="1"/>
        <v>571.05027843410085</v>
      </c>
      <c r="D11" s="5">
        <f t="shared" si="2"/>
        <v>665.50728696633905</v>
      </c>
      <c r="E11" s="6">
        <f t="shared" si="3"/>
        <v>0.52721415680561168</v>
      </c>
      <c r="F11" s="6">
        <f t="shared" si="4"/>
        <v>0.42692725849733393</v>
      </c>
      <c r="G11" s="5">
        <f t="shared" si="5"/>
        <v>523.14027843410088</v>
      </c>
      <c r="H11" s="6">
        <f t="shared" si="6"/>
        <v>0.60292086089302033</v>
      </c>
      <c r="I11" s="6">
        <f t="shared" si="7"/>
        <v>0.5055823051212367</v>
      </c>
      <c r="J11" s="5">
        <v>15.807606248817375</v>
      </c>
      <c r="K11" s="5">
        <v>160.32969639763991</v>
      </c>
      <c r="L11" s="5">
        <v>179.35033010784343</v>
      </c>
      <c r="M11" s="5">
        <v>131.95033840378665</v>
      </c>
      <c r="N11" s="5">
        <v>83.612307276013439</v>
      </c>
      <c r="O11" s="5">
        <v>142.3670085322382</v>
      </c>
      <c r="P11" s="5">
        <v>-47.909999999999989</v>
      </c>
      <c r="Q11" s="5">
        <v>0</v>
      </c>
      <c r="R11" s="5">
        <v>0</v>
      </c>
    </row>
    <row r="12" spans="1:23">
      <c r="A12" s="3">
        <v>2030</v>
      </c>
      <c r="B12" s="5">
        <f t="shared" si="0"/>
        <v>653.72160792735815</v>
      </c>
      <c r="C12" s="5">
        <f t="shared" si="1"/>
        <v>515.83409295654724</v>
      </c>
      <c r="D12" s="5">
        <f t="shared" si="2"/>
        <v>606.0216079273581</v>
      </c>
      <c r="E12" s="6">
        <f t="shared" si="3"/>
        <v>0.5694736293511885</v>
      </c>
      <c r="F12" s="6">
        <f t="shared" si="4"/>
        <v>0.47815077149959007</v>
      </c>
      <c r="G12" s="5">
        <f t="shared" si="5"/>
        <v>468.13409295654725</v>
      </c>
      <c r="H12" s="6">
        <f t="shared" si="6"/>
        <v>0.6446722030767349</v>
      </c>
      <c r="I12" s="6">
        <f t="shared" si="7"/>
        <v>0.55756842155885988</v>
      </c>
      <c r="J12" s="5">
        <v>15.685686370284884</v>
      </c>
      <c r="K12" s="5">
        <v>126.64625999888108</v>
      </c>
      <c r="L12" s="5">
        <v>170.20746886792739</v>
      </c>
      <c r="M12" s="5">
        <v>124.13985455320494</v>
      </c>
      <c r="N12" s="5">
        <v>79.154823166248917</v>
      </c>
      <c r="O12" s="5">
        <v>137.88751497081091</v>
      </c>
      <c r="P12" s="5">
        <v>-47.7</v>
      </c>
      <c r="Q12" s="5">
        <v>0</v>
      </c>
      <c r="R12" s="5">
        <v>0</v>
      </c>
    </row>
    <row r="13" spans="1:23">
      <c r="A13" s="3">
        <v>2031</v>
      </c>
      <c r="B13" s="5">
        <f t="shared" si="0"/>
        <v>600.70117194733757</v>
      </c>
      <c r="C13" s="5">
        <f t="shared" si="1"/>
        <v>468.51967883383401</v>
      </c>
      <c r="D13" s="5">
        <f t="shared" si="2"/>
        <v>552.88192194733756</v>
      </c>
      <c r="E13" s="6">
        <f t="shared" si="3"/>
        <v>0.60722481815886242</v>
      </c>
      <c r="F13" s="6">
        <f t="shared" si="4"/>
        <v>0.52390970776305046</v>
      </c>
      <c r="G13" s="5">
        <f t="shared" si="5"/>
        <v>420.700428833834</v>
      </c>
      <c r="H13" s="6">
        <f t="shared" si="6"/>
        <v>0.68067577475910379</v>
      </c>
      <c r="I13" s="6">
        <f t="shared" si="7"/>
        <v>0.60239777965264629</v>
      </c>
      <c r="J13" s="5">
        <v>14.808318568234785</v>
      </c>
      <c r="K13" s="5">
        <v>107.39020485825912</v>
      </c>
      <c r="L13" s="5">
        <v>155.77686307834438</v>
      </c>
      <c r="M13" s="5">
        <v>115.79129298370108</v>
      </c>
      <c r="N13" s="5">
        <v>74.752999345294654</v>
      </c>
      <c r="O13" s="5">
        <v>132.18149311350362</v>
      </c>
      <c r="P13" s="5">
        <v>-47.819250000000004</v>
      </c>
      <c r="Q13" s="5">
        <v>0</v>
      </c>
      <c r="R13" s="5">
        <v>0</v>
      </c>
    </row>
    <row r="14" spans="1:23">
      <c r="A14" s="3">
        <v>2032</v>
      </c>
      <c r="B14" s="5">
        <f t="shared" si="0"/>
        <v>547.68073596731722</v>
      </c>
      <c r="C14" s="5">
        <f t="shared" si="1"/>
        <v>421.20526471112089</v>
      </c>
      <c r="D14" s="5">
        <f t="shared" si="2"/>
        <v>499.74223596731724</v>
      </c>
      <c r="E14" s="6">
        <f t="shared" si="3"/>
        <v>0.64497600696653601</v>
      </c>
      <c r="F14" s="6">
        <f t="shared" si="4"/>
        <v>0.56966864402651063</v>
      </c>
      <c r="G14" s="5">
        <f t="shared" si="5"/>
        <v>373.26676471112091</v>
      </c>
      <c r="H14" s="6">
        <f t="shared" si="6"/>
        <v>0.71667934644147269</v>
      </c>
      <c r="I14" s="6">
        <f t="shared" si="7"/>
        <v>0.64722713774643237</v>
      </c>
      <c r="J14" s="5">
        <v>13.930950766184687</v>
      </c>
      <c r="K14" s="5">
        <v>88.134149717637172</v>
      </c>
      <c r="L14" s="5">
        <v>141.34625728876136</v>
      </c>
      <c r="M14" s="5">
        <v>107.44273141419723</v>
      </c>
      <c r="N14" s="5">
        <v>70.351175524340391</v>
      </c>
      <c r="O14" s="5">
        <v>126.47547125619633</v>
      </c>
      <c r="P14" s="5">
        <v>-47.938500000000005</v>
      </c>
      <c r="Q14" s="5">
        <v>0</v>
      </c>
      <c r="R14" s="5">
        <v>0</v>
      </c>
    </row>
    <row r="15" spans="1:23">
      <c r="A15" s="3">
        <v>2033</v>
      </c>
      <c r="B15" s="5">
        <f t="shared" si="0"/>
        <v>494.66029998729664</v>
      </c>
      <c r="C15" s="5">
        <f t="shared" si="1"/>
        <v>373.8908505884076</v>
      </c>
      <c r="D15" s="5">
        <f t="shared" si="2"/>
        <v>446.60254998729664</v>
      </c>
      <c r="E15" s="6">
        <f t="shared" si="3"/>
        <v>0.68272719577420982</v>
      </c>
      <c r="F15" s="6">
        <f t="shared" si="4"/>
        <v>0.61542758028997113</v>
      </c>
      <c r="G15" s="5">
        <f t="shared" si="5"/>
        <v>325.8331005884076</v>
      </c>
      <c r="H15" s="6">
        <f t="shared" si="6"/>
        <v>0.75268291812384169</v>
      </c>
      <c r="I15" s="6">
        <f t="shared" si="7"/>
        <v>0.69205649584021867</v>
      </c>
      <c r="J15" s="5">
        <v>13.053582964134588</v>
      </c>
      <c r="K15" s="5">
        <v>68.878094577015219</v>
      </c>
      <c r="L15" s="5">
        <v>126.91565149917834</v>
      </c>
      <c r="M15" s="5">
        <v>99.094169844693369</v>
      </c>
      <c r="N15" s="5">
        <v>65.949351703386142</v>
      </c>
      <c r="O15" s="5">
        <v>120.76944939888904</v>
      </c>
      <c r="P15" s="5">
        <v>-48.057750000000006</v>
      </c>
      <c r="Q15" s="5">
        <v>0</v>
      </c>
      <c r="R15" s="5">
        <v>0</v>
      </c>
    </row>
    <row r="16" spans="1:23">
      <c r="A16" s="3">
        <v>2034</v>
      </c>
      <c r="B16" s="5">
        <f t="shared" si="0"/>
        <v>441.63986400727623</v>
      </c>
      <c r="C16" s="5">
        <f t="shared" si="1"/>
        <v>326.57643646569448</v>
      </c>
      <c r="D16" s="5">
        <f t="shared" si="2"/>
        <v>393.46286400727621</v>
      </c>
      <c r="E16" s="6">
        <f t="shared" si="3"/>
        <v>0.72047838458188362</v>
      </c>
      <c r="F16" s="6">
        <f t="shared" si="4"/>
        <v>0.66118651655343141</v>
      </c>
      <c r="G16" s="5">
        <f t="shared" si="5"/>
        <v>278.39943646569446</v>
      </c>
      <c r="H16" s="6">
        <f t="shared" si="6"/>
        <v>0.78868648980621048</v>
      </c>
      <c r="I16" s="6">
        <f t="shared" si="7"/>
        <v>0.73688585393400485</v>
      </c>
      <c r="J16" s="5">
        <v>12.176215162084489</v>
      </c>
      <c r="K16" s="5">
        <v>49.622039436393266</v>
      </c>
      <c r="L16" s="5">
        <v>112.48504570959531</v>
      </c>
      <c r="M16" s="5">
        <v>90.745608275189511</v>
      </c>
      <c r="N16" s="5">
        <v>61.547527882431886</v>
      </c>
      <c r="O16" s="5">
        <v>115.06342754158175</v>
      </c>
      <c r="P16" s="5">
        <v>-48.177000000000007</v>
      </c>
      <c r="Q16" s="5">
        <v>0</v>
      </c>
      <c r="R16" s="5">
        <v>0</v>
      </c>
    </row>
    <row r="17" spans="1:18">
      <c r="A17" s="3">
        <v>2035</v>
      </c>
      <c r="B17" s="5">
        <f t="shared" si="0"/>
        <v>388.61942802725571</v>
      </c>
      <c r="C17" s="5">
        <f t="shared" si="1"/>
        <v>279.26202234298125</v>
      </c>
      <c r="D17" s="5">
        <f t="shared" si="2"/>
        <v>340.32317802725572</v>
      </c>
      <c r="E17" s="6">
        <f t="shared" si="3"/>
        <v>0.75822957338955743</v>
      </c>
      <c r="F17" s="6">
        <f t="shared" si="4"/>
        <v>0.70694545281689181</v>
      </c>
      <c r="G17" s="5">
        <f t="shared" si="5"/>
        <v>230.96577234298124</v>
      </c>
      <c r="H17" s="6">
        <f t="shared" si="6"/>
        <v>0.82469006148857948</v>
      </c>
      <c r="I17" s="6">
        <f t="shared" si="7"/>
        <v>0.78171521202779126</v>
      </c>
      <c r="J17" s="5">
        <v>11.29884736003439</v>
      </c>
      <c r="K17" s="5">
        <v>30.365984295771323</v>
      </c>
      <c r="L17" s="5">
        <v>98.054439920012285</v>
      </c>
      <c r="M17" s="5">
        <v>82.397046705685653</v>
      </c>
      <c r="N17" s="5">
        <v>57.14570406147763</v>
      </c>
      <c r="O17" s="5">
        <v>109.35740568427445</v>
      </c>
      <c r="P17" s="5">
        <v>-48.296250000000008</v>
      </c>
      <c r="Q17" s="5">
        <v>0</v>
      </c>
      <c r="R17" s="5">
        <v>0</v>
      </c>
    </row>
    <row r="18" spans="1:18">
      <c r="A18" s="3">
        <v>2036</v>
      </c>
      <c r="B18" s="5">
        <f t="shared" si="0"/>
        <v>351.08654931921302</v>
      </c>
      <c r="C18" s="5">
        <f t="shared" si="1"/>
        <v>247.43516549224586</v>
      </c>
      <c r="D18" s="5">
        <f t="shared" si="2"/>
        <v>302.67104931921301</v>
      </c>
      <c r="E18" s="6">
        <f t="shared" si="3"/>
        <v>0.78497818120787566</v>
      </c>
      <c r="F18" s="6">
        <f t="shared" si="4"/>
        <v>0.73936795072895545</v>
      </c>
      <c r="G18" s="5">
        <f t="shared" si="5"/>
        <v>199.01966549224585</v>
      </c>
      <c r="H18" s="6">
        <f t="shared" si="6"/>
        <v>0.84893811335734326</v>
      </c>
      <c r="I18" s="6">
        <f t="shared" si="7"/>
        <v>0.81190734434986944</v>
      </c>
      <c r="J18" s="5">
        <v>10.421479557984291</v>
      </c>
      <c r="K18" s="5">
        <v>26.597486427127134</v>
      </c>
      <c r="L18" s="5">
        <v>83.623834130429259</v>
      </c>
      <c r="M18" s="5">
        <v>74.048485136181796</v>
      </c>
      <c r="N18" s="5">
        <v>52.743880240523374</v>
      </c>
      <c r="O18" s="5">
        <v>103.65138382696716</v>
      </c>
      <c r="P18" s="5">
        <v>-48.415500000000009</v>
      </c>
      <c r="Q18" s="5">
        <v>0</v>
      </c>
      <c r="R18" s="5">
        <v>-6.8804690908594441</v>
      </c>
    </row>
    <row r="19" spans="1:18">
      <c r="A19" s="3">
        <v>2037</v>
      </c>
      <c r="B19" s="5">
        <f t="shared" si="0"/>
        <v>313.55367061117028</v>
      </c>
      <c r="C19" s="5">
        <f t="shared" si="1"/>
        <v>215.6083086415104</v>
      </c>
      <c r="D19" s="5">
        <f t="shared" si="2"/>
        <v>265.01892061117024</v>
      </c>
      <c r="E19" s="6">
        <f t="shared" si="3"/>
        <v>0.811726789026194</v>
      </c>
      <c r="F19" s="6">
        <f t="shared" si="4"/>
        <v>0.7717904486410192</v>
      </c>
      <c r="G19" s="5">
        <f t="shared" si="5"/>
        <v>167.0735586415104</v>
      </c>
      <c r="H19" s="6">
        <f t="shared" si="6"/>
        <v>0.87318616522610704</v>
      </c>
      <c r="I19" s="6">
        <f t="shared" si="7"/>
        <v>0.84209947667194784</v>
      </c>
      <c r="J19" s="5">
        <v>9.5441117559341926</v>
      </c>
      <c r="K19" s="5">
        <v>22.828988558482944</v>
      </c>
      <c r="L19" s="5">
        <v>69.193228340846233</v>
      </c>
      <c r="M19" s="5">
        <v>65.699923566677938</v>
      </c>
      <c r="N19" s="5">
        <v>48.342056419569118</v>
      </c>
      <c r="O19" s="5">
        <v>97.945361969659871</v>
      </c>
      <c r="P19" s="5">
        <v>-48.53475000000001</v>
      </c>
      <c r="Q19" s="5">
        <v>0</v>
      </c>
      <c r="R19" s="5">
        <v>-13.760938181718888</v>
      </c>
    </row>
    <row r="20" spans="1:18">
      <c r="A20" s="3">
        <v>2038</v>
      </c>
      <c r="B20" s="5">
        <f t="shared" si="0"/>
        <v>276.02079190312759</v>
      </c>
      <c r="C20" s="5">
        <f t="shared" si="1"/>
        <v>183.78145179077504</v>
      </c>
      <c r="D20" s="5">
        <f t="shared" si="2"/>
        <v>227.36679190312759</v>
      </c>
      <c r="E20" s="6">
        <f t="shared" si="3"/>
        <v>0.83847539684451222</v>
      </c>
      <c r="F20" s="6">
        <f t="shared" si="4"/>
        <v>0.80421294655308273</v>
      </c>
      <c r="G20" s="5">
        <f t="shared" si="5"/>
        <v>135.12745179077501</v>
      </c>
      <c r="H20" s="6">
        <f t="shared" si="6"/>
        <v>0.89743421709487081</v>
      </c>
      <c r="I20" s="6">
        <f t="shared" si="7"/>
        <v>0.87229160899402614</v>
      </c>
      <c r="J20" s="5">
        <v>8.6667439538840938</v>
      </c>
      <c r="K20" s="5">
        <v>19.060490689838755</v>
      </c>
      <c r="L20" s="5">
        <v>54.762622551263206</v>
      </c>
      <c r="M20" s="5">
        <v>57.351361997174095</v>
      </c>
      <c r="N20" s="5">
        <v>43.940232598614863</v>
      </c>
      <c r="O20" s="5">
        <v>92.239340112352579</v>
      </c>
      <c r="P20" s="5">
        <v>-48.654000000000011</v>
      </c>
      <c r="Q20" s="5">
        <v>0</v>
      </c>
      <c r="R20" s="5">
        <v>-20.641407272578334</v>
      </c>
    </row>
    <row r="21" spans="1:18">
      <c r="A21" s="3">
        <v>2039</v>
      </c>
      <c r="B21" s="5">
        <f t="shared" si="0"/>
        <v>238.48791319508487</v>
      </c>
      <c r="C21" s="5">
        <f t="shared" si="1"/>
        <v>151.95459494003958</v>
      </c>
      <c r="D21" s="5">
        <f t="shared" si="2"/>
        <v>189.71466319508485</v>
      </c>
      <c r="E21" s="6">
        <f t="shared" si="3"/>
        <v>0.86522400466283056</v>
      </c>
      <c r="F21" s="6">
        <f t="shared" si="4"/>
        <v>0.83663544446514648</v>
      </c>
      <c r="G21" s="5">
        <f t="shared" si="5"/>
        <v>103.18134494003957</v>
      </c>
      <c r="H21" s="6">
        <f t="shared" si="6"/>
        <v>0.92168226896363459</v>
      </c>
      <c r="I21" s="6">
        <f t="shared" si="7"/>
        <v>0.90248374131610454</v>
      </c>
      <c r="J21" s="5">
        <v>7.789376151833995</v>
      </c>
      <c r="K21" s="5">
        <v>15.291992821194563</v>
      </c>
      <c r="L21" s="5">
        <v>40.33201676168018</v>
      </c>
      <c r="M21" s="5">
        <v>49.002800427670238</v>
      </c>
      <c r="N21" s="5">
        <v>39.538408777660607</v>
      </c>
      <c r="O21" s="5">
        <v>86.533318255045288</v>
      </c>
      <c r="P21" s="5">
        <v>-48.773250000000012</v>
      </c>
      <c r="Q21" s="5">
        <v>0</v>
      </c>
      <c r="R21" s="5">
        <v>-27.521876363437777</v>
      </c>
    </row>
    <row r="22" spans="1:18">
      <c r="A22" s="3">
        <v>2040</v>
      </c>
      <c r="B22" s="5">
        <f t="shared" si="0"/>
        <v>200.95503448704216</v>
      </c>
      <c r="C22" s="5">
        <f t="shared" si="1"/>
        <v>120.12773808930416</v>
      </c>
      <c r="D22" s="5">
        <f t="shared" si="2"/>
        <v>152.06253448704214</v>
      </c>
      <c r="E22" s="6">
        <f t="shared" si="3"/>
        <v>0.8919726124811489</v>
      </c>
      <c r="F22" s="6">
        <f t="shared" si="4"/>
        <v>0.86905794237721012</v>
      </c>
      <c r="G22" s="5">
        <f t="shared" si="5"/>
        <v>71.235238089304147</v>
      </c>
      <c r="H22" s="6">
        <f t="shared" si="6"/>
        <v>0.94593032083239836</v>
      </c>
      <c r="I22" s="6">
        <f t="shared" si="7"/>
        <v>0.93267587363818283</v>
      </c>
      <c r="J22" s="5">
        <v>6.9120083497838962</v>
      </c>
      <c r="K22" s="5">
        <v>11.52349495255037</v>
      </c>
      <c r="L22" s="5">
        <v>25.901410972097153</v>
      </c>
      <c r="M22" s="5">
        <v>40.654238858166394</v>
      </c>
      <c r="N22" s="5">
        <v>35.136584956706351</v>
      </c>
      <c r="O22" s="5">
        <v>80.82729639773801</v>
      </c>
      <c r="P22" s="5">
        <v>-48.892500000000005</v>
      </c>
      <c r="Q22" s="5">
        <v>0</v>
      </c>
      <c r="R22" s="5">
        <v>-34.402345454297219</v>
      </c>
    </row>
    <row r="23" spans="1:18">
      <c r="A23" s="3">
        <v>2041</v>
      </c>
      <c r="B23" s="5">
        <f t="shared" si="0"/>
        <v>170.70141792928806</v>
      </c>
      <c r="C23" s="5">
        <f t="shared" si="1"/>
        <v>95.580143388857351</v>
      </c>
      <c r="D23" s="5">
        <f t="shared" si="2"/>
        <v>121.68966792928805</v>
      </c>
      <c r="E23" s="6">
        <f t="shared" si="3"/>
        <v>0.91354992892376319</v>
      </c>
      <c r="F23" s="6">
        <f t="shared" si="4"/>
        <v>0.89521221934221518</v>
      </c>
      <c r="G23" s="5">
        <f t="shared" si="5"/>
        <v>46.568393388857345</v>
      </c>
      <c r="H23" s="6">
        <f t="shared" si="6"/>
        <v>0.96465319471902988</v>
      </c>
      <c r="I23" s="6">
        <f t="shared" si="7"/>
        <v>0.95598840566732124</v>
      </c>
      <c r="J23" s="5">
        <v>6.2208075148055064</v>
      </c>
      <c r="K23" s="5">
        <v>9.2187959620402964</v>
      </c>
      <c r="L23" s="5">
        <v>23.363841263556736</v>
      </c>
      <c r="M23" s="5">
        <v>36.746187544082957</v>
      </c>
      <c r="N23" s="5">
        <v>32.511976855636235</v>
      </c>
      <c r="O23" s="5">
        <v>75.121274540430719</v>
      </c>
      <c r="P23" s="5">
        <v>-49.011750000000006</v>
      </c>
      <c r="Q23" s="5">
        <v>-12.481465751264382</v>
      </c>
      <c r="R23" s="5">
        <v>-31.056363146351632</v>
      </c>
    </row>
    <row r="24" spans="1:18">
      <c r="A24" s="3">
        <v>2042</v>
      </c>
      <c r="B24" s="5">
        <f t="shared" si="0"/>
        <v>140.44780137153396</v>
      </c>
      <c r="C24" s="5">
        <f t="shared" si="1"/>
        <v>71.032548688410543</v>
      </c>
      <c r="D24" s="5">
        <f t="shared" si="2"/>
        <v>91.316801371533955</v>
      </c>
      <c r="E24" s="6">
        <f t="shared" si="3"/>
        <v>0.93512724536637748</v>
      </c>
      <c r="F24" s="6">
        <f t="shared" si="4"/>
        <v>0.92136649630722034</v>
      </c>
      <c r="G24" s="5">
        <f t="shared" si="5"/>
        <v>21.901548688410536</v>
      </c>
      <c r="H24" s="6">
        <f t="shared" si="6"/>
        <v>0.9833760686056614</v>
      </c>
      <c r="I24" s="6">
        <f t="shared" si="7"/>
        <v>0.97930093769645954</v>
      </c>
      <c r="J24" s="5">
        <v>5.5296066798271166</v>
      </c>
      <c r="K24" s="5">
        <v>6.9140969715302223</v>
      </c>
      <c r="L24" s="5">
        <v>20.826271555016319</v>
      </c>
      <c r="M24" s="5">
        <v>32.838136229999527</v>
      </c>
      <c r="N24" s="5">
        <v>29.887368754566126</v>
      </c>
      <c r="O24" s="5">
        <v>69.415252683123427</v>
      </c>
      <c r="P24" s="5">
        <v>-49.131000000000007</v>
      </c>
      <c r="Q24" s="5">
        <v>-24.962931502528765</v>
      </c>
      <c r="R24" s="5">
        <v>-27.710380838406046</v>
      </c>
    </row>
    <row r="25" spans="1:18">
      <c r="A25" s="3">
        <v>2043</v>
      </c>
      <c r="B25" s="5">
        <f t="shared" si="0"/>
        <v>110.19418481377986</v>
      </c>
      <c r="C25" s="5">
        <f t="shared" si="1"/>
        <v>46.484953987963728</v>
      </c>
      <c r="D25" s="5">
        <f t="shared" si="2"/>
        <v>60.943934813779848</v>
      </c>
      <c r="E25" s="6">
        <f t="shared" si="3"/>
        <v>0.95670456180899177</v>
      </c>
      <c r="F25" s="6">
        <f t="shared" si="4"/>
        <v>0.9475207732722255</v>
      </c>
      <c r="G25" s="5">
        <f t="shared" si="5"/>
        <v>-2.7652960120362806</v>
      </c>
      <c r="H25" s="6">
        <f t="shared" si="6"/>
        <v>1.002098942492293</v>
      </c>
      <c r="I25" s="6">
        <f t="shared" si="7"/>
        <v>1.0026134697255979</v>
      </c>
      <c r="J25" s="5">
        <v>4.8384058448487268</v>
      </c>
      <c r="K25" s="5">
        <v>4.6093979810201482</v>
      </c>
      <c r="L25" s="5">
        <v>18.288701846475902</v>
      </c>
      <c r="M25" s="5">
        <v>28.93008491591609</v>
      </c>
      <c r="N25" s="5">
        <v>27.262760653496017</v>
      </c>
      <c r="O25" s="5">
        <v>63.709230825816135</v>
      </c>
      <c r="P25" s="5">
        <v>-49.250250000000008</v>
      </c>
      <c r="Q25" s="5">
        <v>-37.444397253793149</v>
      </c>
      <c r="R25" s="5">
        <v>-24.364398530460459</v>
      </c>
    </row>
    <row r="26" spans="1:18">
      <c r="A26" s="3">
        <v>2044</v>
      </c>
      <c r="B26" s="5">
        <f t="shared" si="0"/>
        <v>79.940568256025756</v>
      </c>
      <c r="C26" s="5">
        <f t="shared" si="1"/>
        <v>21.937359287516919</v>
      </c>
      <c r="D26" s="5">
        <f t="shared" si="2"/>
        <v>30.571068256025747</v>
      </c>
      <c r="E26" s="6">
        <f t="shared" si="3"/>
        <v>0.97828187825160595</v>
      </c>
      <c r="F26" s="6">
        <f t="shared" si="4"/>
        <v>0.97367505023723067</v>
      </c>
      <c r="G26" s="5">
        <f t="shared" si="5"/>
        <v>-27.43214071248309</v>
      </c>
      <c r="H26" s="6">
        <f t="shared" si="6"/>
        <v>1.0208218163789247</v>
      </c>
      <c r="I26" s="6">
        <f t="shared" si="7"/>
        <v>1.0259260017547362</v>
      </c>
      <c r="J26" s="5">
        <v>4.147205009870337</v>
      </c>
      <c r="K26" s="5">
        <v>2.3046989905100741</v>
      </c>
      <c r="L26" s="5">
        <v>15.751132137935484</v>
      </c>
      <c r="M26" s="5">
        <v>25.022033601832653</v>
      </c>
      <c r="N26" s="5">
        <v>24.638152552425908</v>
      </c>
      <c r="O26" s="5">
        <v>58.003208968508844</v>
      </c>
      <c r="P26" s="5">
        <v>-49.369500000000009</v>
      </c>
      <c r="Q26" s="5">
        <v>-49.925863005057529</v>
      </c>
      <c r="R26" s="5">
        <v>-21.018416222514873</v>
      </c>
    </row>
    <row r="27" spans="1:18">
      <c r="A27" s="3">
        <v>2045</v>
      </c>
      <c r="B27" s="5">
        <f t="shared" si="0"/>
        <v>49.686951698271677</v>
      </c>
      <c r="C27" s="5">
        <f t="shared" si="1"/>
        <v>-2.6102354129298746</v>
      </c>
      <c r="D27" s="5">
        <f t="shared" si="2"/>
        <v>0.19820169827166723</v>
      </c>
      <c r="E27" s="6">
        <f t="shared" si="3"/>
        <v>0.99985919469422024</v>
      </c>
      <c r="F27" s="6">
        <f t="shared" si="4"/>
        <v>0.99982932720223572</v>
      </c>
      <c r="G27" s="5">
        <f t="shared" si="5"/>
        <v>-52.098985412929885</v>
      </c>
      <c r="H27" s="6">
        <f t="shared" si="6"/>
        <v>1.0395446902655561</v>
      </c>
      <c r="I27" s="6">
        <f t="shared" si="7"/>
        <v>1.0492385337838748</v>
      </c>
      <c r="J27" s="5">
        <v>3.4560041748919472</v>
      </c>
      <c r="K27" s="5">
        <v>0</v>
      </c>
      <c r="L27" s="5">
        <v>13.213562429395065</v>
      </c>
      <c r="M27" s="5">
        <v>21.11398228774922</v>
      </c>
      <c r="N27" s="5">
        <v>22.013544451355795</v>
      </c>
      <c r="O27" s="5">
        <v>52.297187111201552</v>
      </c>
      <c r="P27" s="5">
        <v>-49.48875000000001</v>
      </c>
      <c r="Q27" s="5">
        <v>-62.40732875632191</v>
      </c>
      <c r="R27" s="5">
        <v>-17.672433914569286</v>
      </c>
    </row>
    <row r="28" spans="1:18">
      <c r="A28" s="3">
        <v>2046</v>
      </c>
      <c r="B28" s="5">
        <f t="shared" si="0"/>
        <v>34.21949988229202</v>
      </c>
      <c r="C28" s="5">
        <f t="shared" si="1"/>
        <v>-12.371665371602241</v>
      </c>
      <c r="D28" s="5">
        <f t="shared" si="2"/>
        <v>-15.388500117707991</v>
      </c>
      <c r="E28" s="6">
        <f t="shared" si="3"/>
        <v>1.0109322093779201</v>
      </c>
      <c r="F28" s="6">
        <f t="shared" si="4"/>
        <v>1.0132511395784538</v>
      </c>
      <c r="G28" s="5">
        <f t="shared" si="5"/>
        <v>-61.979665371602252</v>
      </c>
      <c r="H28" s="6">
        <f t="shared" si="6"/>
        <v>1.0470444222753432</v>
      </c>
      <c r="I28" s="6">
        <f t="shared" si="7"/>
        <v>1.0585767231957552</v>
      </c>
      <c r="J28" s="5">
        <v>2.7648033399135574</v>
      </c>
      <c r="K28" s="5">
        <v>0</v>
      </c>
      <c r="L28" s="5">
        <v>10.675992720854646</v>
      </c>
      <c r="M28" s="5">
        <v>17.205930973665787</v>
      </c>
      <c r="N28" s="5">
        <v>19.388936350285682</v>
      </c>
      <c r="O28" s="5">
        <v>46.59116525389426</v>
      </c>
      <c r="P28" s="5">
        <v>-49.608000000000011</v>
      </c>
      <c r="Q28" s="5">
        <v>-62.40732875632191</v>
      </c>
      <c r="R28" s="5">
        <v>-14.326451606623699</v>
      </c>
    </row>
    <row r="29" spans="1:18">
      <c r="A29" s="3">
        <v>2047</v>
      </c>
      <c r="B29" s="5">
        <f t="shared" si="0"/>
        <v>18.752048066312376</v>
      </c>
      <c r="C29" s="5">
        <f t="shared" si="1"/>
        <v>-22.133095330274593</v>
      </c>
      <c r="D29" s="5">
        <f t="shared" si="2"/>
        <v>-30.975201933687636</v>
      </c>
      <c r="E29" s="6">
        <f t="shared" si="3"/>
        <v>1.0220052240616198</v>
      </c>
      <c r="F29" s="6">
        <f t="shared" si="4"/>
        <v>1.0266729519546716</v>
      </c>
      <c r="G29" s="5">
        <f t="shared" si="5"/>
        <v>-71.860345330274612</v>
      </c>
      <c r="H29" s="6">
        <f t="shared" si="6"/>
        <v>1.0545441542851304</v>
      </c>
      <c r="I29" s="6">
        <f t="shared" si="7"/>
        <v>1.0679149126076359</v>
      </c>
      <c r="J29" s="5">
        <v>2.0736025049351676</v>
      </c>
      <c r="K29" s="5">
        <v>0</v>
      </c>
      <c r="L29" s="5">
        <v>8.1384230123142274</v>
      </c>
      <c r="M29" s="5">
        <v>13.29787965958235</v>
      </c>
      <c r="N29" s="5">
        <v>16.764328249215573</v>
      </c>
      <c r="O29" s="5">
        <v>40.885143396586969</v>
      </c>
      <c r="P29" s="5">
        <v>-49.727250000000012</v>
      </c>
      <c r="Q29" s="5">
        <v>-62.40732875632191</v>
      </c>
      <c r="R29" s="5">
        <v>-10.980469298678113</v>
      </c>
    </row>
    <row r="30" spans="1:18">
      <c r="A30" s="3">
        <v>2048</v>
      </c>
      <c r="B30" s="5">
        <f t="shared" si="0"/>
        <v>3.2845962503327328</v>
      </c>
      <c r="C30" s="5">
        <f t="shared" si="1"/>
        <v>-31.894525288946944</v>
      </c>
      <c r="D30" s="5">
        <f t="shared" si="2"/>
        <v>-46.56190374966728</v>
      </c>
      <c r="E30" s="6">
        <f t="shared" si="3"/>
        <v>1.0330782387453195</v>
      </c>
      <c r="F30" s="6">
        <f t="shared" si="4"/>
        <v>1.0400947643308895</v>
      </c>
      <c r="G30" s="5">
        <f t="shared" si="5"/>
        <v>-81.741025288946958</v>
      </c>
      <c r="H30" s="6">
        <f t="shared" si="6"/>
        <v>1.0620438862949177</v>
      </c>
      <c r="I30" s="6">
        <f t="shared" si="7"/>
        <v>1.0772531020195164</v>
      </c>
      <c r="J30" s="5">
        <v>1.382401669956778</v>
      </c>
      <c r="K30" s="5">
        <v>0</v>
      </c>
      <c r="L30" s="5">
        <v>5.6008533037738086</v>
      </c>
      <c r="M30" s="5">
        <v>9.3898283454989127</v>
      </c>
      <c r="N30" s="5">
        <v>14.139720148145463</v>
      </c>
      <c r="O30" s="5">
        <v>35.179121539279677</v>
      </c>
      <c r="P30" s="5">
        <v>-49.846500000000013</v>
      </c>
      <c r="Q30" s="5">
        <v>-62.40732875632191</v>
      </c>
      <c r="R30" s="5">
        <v>-7.634486990732527</v>
      </c>
    </row>
    <row r="31" spans="1:18">
      <c r="A31" s="3">
        <v>2049</v>
      </c>
      <c r="B31" s="5">
        <f t="shared" si="0"/>
        <v>-12.182855565646918</v>
      </c>
      <c r="C31" s="5">
        <f t="shared" si="1"/>
        <v>-41.655955247619303</v>
      </c>
      <c r="D31" s="5">
        <f t="shared" si="2"/>
        <v>-62.148605565646932</v>
      </c>
      <c r="E31" s="6">
        <f t="shared" si="3"/>
        <v>1.0441512534290192</v>
      </c>
      <c r="F31" s="6">
        <f t="shared" si="4"/>
        <v>1.0535165767071075</v>
      </c>
      <c r="G31" s="5">
        <f t="shared" si="5"/>
        <v>-91.621705247619317</v>
      </c>
      <c r="H31" s="6">
        <f t="shared" si="6"/>
        <v>1.0695436183047049</v>
      </c>
      <c r="I31" s="6">
        <f t="shared" si="7"/>
        <v>1.0865912914313971</v>
      </c>
      <c r="J31" s="5">
        <v>0.69120083497838847</v>
      </c>
      <c r="K31" s="5">
        <v>0</v>
      </c>
      <c r="L31" s="5">
        <v>3.0632835952333899</v>
      </c>
      <c r="M31" s="5">
        <v>5.4817770314154766</v>
      </c>
      <c r="N31" s="5">
        <v>11.515112047075352</v>
      </c>
      <c r="O31" s="5">
        <v>29.473099681972386</v>
      </c>
      <c r="P31" s="5">
        <v>-49.965750000000014</v>
      </c>
      <c r="Q31" s="5">
        <v>-62.40732875632191</v>
      </c>
      <c r="R31" s="5">
        <v>-4.2885046827869413</v>
      </c>
    </row>
    <row r="32" spans="1:18">
      <c r="A32" s="3">
        <v>2050</v>
      </c>
      <c r="B32" s="5">
        <f t="shared" si="0"/>
        <v>-27.650307381626554</v>
      </c>
      <c r="C32" s="5">
        <f t="shared" si="1"/>
        <v>-51.417385206291669</v>
      </c>
      <c r="D32" s="5">
        <f t="shared" si="2"/>
        <v>-77.735307381626569</v>
      </c>
      <c r="E32" s="6">
        <f t="shared" si="3"/>
        <v>1.0552242681127189</v>
      </c>
      <c r="F32" s="6">
        <f t="shared" si="4"/>
        <v>1.0669383890833255</v>
      </c>
      <c r="G32" s="5">
        <f t="shared" si="5"/>
        <v>-101.50238520629168</v>
      </c>
      <c r="H32" s="6">
        <f t="shared" si="6"/>
        <v>1.0770433503144921</v>
      </c>
      <c r="I32" s="6">
        <f t="shared" si="7"/>
        <v>1.0959294808432776</v>
      </c>
      <c r="J32" s="5">
        <v>0</v>
      </c>
      <c r="K32" s="5">
        <v>0</v>
      </c>
      <c r="L32" s="5">
        <v>0.52571388669296548</v>
      </c>
      <c r="M32" s="5">
        <v>1.5737257173320345</v>
      </c>
      <c r="N32" s="5">
        <v>8.8905039460052446</v>
      </c>
      <c r="O32" s="5">
        <v>23.767077824665115</v>
      </c>
      <c r="P32" s="5">
        <v>-50.085000000000008</v>
      </c>
      <c r="Q32" s="5">
        <v>-62.40732875632191</v>
      </c>
      <c r="R32" s="5">
        <v>-0.94252237484136037</v>
      </c>
    </row>
  </sheetData>
  <phoneticPr fontId="6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FBB6-11A4-6D4E-8D91-02A0EECEE587}">
  <dimension ref="A1:W32"/>
  <sheetViews>
    <sheetView tabSelected="1" workbookViewId="0">
      <selection activeCell="T3" sqref="T3"/>
    </sheetView>
  </sheetViews>
  <sheetFormatPr baseColWidth="10" defaultColWidth="8.83203125" defaultRowHeight="14"/>
  <cols>
    <col min="1" max="1" width="8.83203125" style="3"/>
    <col min="2" max="18" width="6.83203125" style="3" customWidth="1"/>
    <col min="19" max="16384" width="8.83203125" style="3"/>
  </cols>
  <sheetData>
    <row r="1" spans="1:23">
      <c r="A1" s="3" t="s">
        <v>32</v>
      </c>
      <c r="B1" s="3" t="s">
        <v>30</v>
      </c>
      <c r="C1" s="3" t="s">
        <v>29</v>
      </c>
      <c r="D1" s="3" t="s">
        <v>31</v>
      </c>
      <c r="E1" s="3" t="s">
        <v>34</v>
      </c>
      <c r="F1" s="3" t="s">
        <v>33</v>
      </c>
      <c r="G1" s="3" t="s">
        <v>25</v>
      </c>
      <c r="H1" s="3" t="s">
        <v>35</v>
      </c>
      <c r="I1" s="3" t="s">
        <v>36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U1" s="3" t="s">
        <v>28</v>
      </c>
      <c r="V1" s="3" t="s">
        <v>27</v>
      </c>
      <c r="W1" s="3" t="s">
        <v>24</v>
      </c>
    </row>
    <row r="2" spans="1:23">
      <c r="A2" s="3">
        <v>2020</v>
      </c>
      <c r="B2" s="5">
        <f>SUM(J2:O2)+Q2</f>
        <v>1250.6783983171672</v>
      </c>
      <c r="C2" s="5">
        <f>SUM(J2:N2)+Q2</f>
        <v>1067.9959477320842</v>
      </c>
      <c r="D2" s="5">
        <f>B2+P2</f>
        <v>1200.8783983171672</v>
      </c>
      <c r="E2" s="6">
        <f>1-D2/$U$2</f>
        <v>0.14687890389541991</v>
      </c>
      <c r="F2" s="6">
        <f>1-D2/($U$3+$V$3)</f>
        <v>-3.4084358522971314E-2</v>
      </c>
      <c r="G2" s="5">
        <f>C2+P2</f>
        <v>1018.1959477320843</v>
      </c>
      <c r="H2" s="6">
        <f>1-G2/$W$2</f>
        <v>0.22715878123958899</v>
      </c>
      <c r="I2" s="6">
        <f>1-G2/($W$3+$V$3)</f>
        <v>3.7707257182627685E-2</v>
      </c>
      <c r="J2" s="5">
        <v>16.904885155609829</v>
      </c>
      <c r="K2" s="5">
        <v>463.48062398647039</v>
      </c>
      <c r="L2" s="5">
        <v>261.63608126708783</v>
      </c>
      <c r="M2" s="5">
        <v>202.2446930590221</v>
      </c>
      <c r="N2" s="5">
        <v>123.72966426389408</v>
      </c>
      <c r="O2" s="5">
        <v>182.68245058508305</v>
      </c>
      <c r="P2" s="5">
        <v>-49.8</v>
      </c>
      <c r="Q2" s="5">
        <v>0</v>
      </c>
      <c r="R2" s="5">
        <v>0</v>
      </c>
      <c r="T2" s="3">
        <v>2013</v>
      </c>
      <c r="U2" s="3">
        <v>1407.62947229939</v>
      </c>
      <c r="W2" s="3">
        <v>1317.4710704033189</v>
      </c>
    </row>
    <row r="3" spans="1:23">
      <c r="A3" s="3">
        <v>2021</v>
      </c>
      <c r="B3" s="5">
        <f t="shared" ref="B3:B32" si="0">SUM(J3:O3)+Q3</f>
        <v>1206.4472867576994</v>
      </c>
      <c r="C3" s="5">
        <f t="shared" ref="C3:C32" si="1">SUM(J3:N3)+Q3</f>
        <v>1028.4602080520799</v>
      </c>
      <c r="D3" s="5">
        <f t="shared" ref="D3:D32" si="2">B3+P3</f>
        <v>1156.8572867576995</v>
      </c>
      <c r="E3" s="6">
        <f t="shared" ref="E3:E32" si="3">1-D3/$U$2</f>
        <v>0.17815212772722733</v>
      </c>
      <c r="F3" s="6">
        <f t="shared" ref="F3:F32" si="4">1-D3/($U$3+$V$3)</f>
        <v>3.8225127907531853E-3</v>
      </c>
      <c r="G3" s="5">
        <f t="shared" ref="G3:G32" si="5">C3+P3</f>
        <v>978.87020805207987</v>
      </c>
      <c r="H3" s="6">
        <f t="shared" ref="H3:H32" si="6">1-G3/$W$2</f>
        <v>0.25700819544188003</v>
      </c>
      <c r="I3" s="6">
        <f t="shared" ref="I3:I32" si="7">1-G3/($W$3+$V$3)</f>
        <v>7.4873849707655982E-2</v>
      </c>
      <c r="J3" s="5">
        <v>17.360755675254968</v>
      </c>
      <c r="K3" s="5">
        <v>433.68319270276129</v>
      </c>
      <c r="L3" s="5">
        <v>257.77274430725993</v>
      </c>
      <c r="M3" s="5">
        <v>197.04184604991173</v>
      </c>
      <c r="N3" s="5">
        <v>122.60166931689207</v>
      </c>
      <c r="O3" s="5">
        <v>177.98707870561961</v>
      </c>
      <c r="P3" s="5">
        <v>-49.589999999999996</v>
      </c>
      <c r="Q3" s="5">
        <v>0</v>
      </c>
      <c r="R3" s="5">
        <v>0</v>
      </c>
      <c r="T3" s="3">
        <v>2019</v>
      </c>
      <c r="U3" s="3">
        <v>1209.748758886331</v>
      </c>
      <c r="V3" s="3">
        <v>-48.452401950388854</v>
      </c>
      <c r="W3" s="3">
        <v>1106.5461632636459</v>
      </c>
    </row>
    <row r="4" spans="1:23">
      <c r="A4" s="3">
        <v>2022</v>
      </c>
      <c r="B4" s="5">
        <f t="shared" si="0"/>
        <v>1162.2161751982319</v>
      </c>
      <c r="C4" s="5">
        <f t="shared" si="1"/>
        <v>988.92446837207569</v>
      </c>
      <c r="D4" s="5">
        <f t="shared" si="2"/>
        <v>1112.836175198232</v>
      </c>
      <c r="E4" s="6">
        <f t="shared" si="3"/>
        <v>0.20942535155903452</v>
      </c>
      <c r="F4" s="6">
        <f t="shared" si="4"/>
        <v>4.1729384104477352E-2</v>
      </c>
      <c r="G4" s="5">
        <f t="shared" si="5"/>
        <v>939.5444683720757</v>
      </c>
      <c r="H4" s="6">
        <f t="shared" si="6"/>
        <v>0.28685760964417084</v>
      </c>
      <c r="I4" s="6">
        <f t="shared" si="7"/>
        <v>0.11204044223268406</v>
      </c>
      <c r="J4" s="5">
        <v>17.816626194900106</v>
      </c>
      <c r="K4" s="5">
        <v>403.88576141905219</v>
      </c>
      <c r="L4" s="5">
        <v>253.90940734743199</v>
      </c>
      <c r="M4" s="5">
        <v>191.83899904080135</v>
      </c>
      <c r="N4" s="5">
        <v>121.47367436989006</v>
      </c>
      <c r="O4" s="5">
        <v>173.29170682615617</v>
      </c>
      <c r="P4" s="5">
        <v>-49.379999999999995</v>
      </c>
      <c r="Q4" s="5">
        <v>0</v>
      </c>
      <c r="R4" s="5">
        <v>0</v>
      </c>
    </row>
    <row r="5" spans="1:23">
      <c r="A5" s="3">
        <v>2023</v>
      </c>
      <c r="B5" s="5">
        <f t="shared" si="0"/>
        <v>1117.9850636387639</v>
      </c>
      <c r="C5" s="5">
        <f t="shared" si="1"/>
        <v>949.38872869207125</v>
      </c>
      <c r="D5" s="5">
        <f t="shared" si="2"/>
        <v>1068.8150636387638</v>
      </c>
      <c r="E5" s="6">
        <f t="shared" si="3"/>
        <v>0.24069857539084227</v>
      </c>
      <c r="F5" s="6">
        <f t="shared" si="4"/>
        <v>7.9636255418202184E-2</v>
      </c>
      <c r="G5" s="5">
        <f t="shared" si="5"/>
        <v>900.21872869207129</v>
      </c>
      <c r="H5" s="6">
        <f t="shared" si="6"/>
        <v>0.31670702384646188</v>
      </c>
      <c r="I5" s="6">
        <f t="shared" si="7"/>
        <v>0.14920703475771246</v>
      </c>
      <c r="J5" s="5">
        <v>18.272496714545245</v>
      </c>
      <c r="K5" s="5">
        <v>374.08833013534309</v>
      </c>
      <c r="L5" s="5">
        <v>250.04607038760406</v>
      </c>
      <c r="M5" s="5">
        <v>186.63615203169098</v>
      </c>
      <c r="N5" s="5">
        <v>120.34567942288805</v>
      </c>
      <c r="O5" s="5">
        <v>168.59633494669274</v>
      </c>
      <c r="P5" s="5">
        <v>-49.169999999999995</v>
      </c>
      <c r="Q5" s="5">
        <v>0</v>
      </c>
      <c r="R5" s="5">
        <v>0</v>
      </c>
    </row>
    <row r="6" spans="1:23">
      <c r="A6" s="3">
        <v>2024</v>
      </c>
      <c r="B6" s="5">
        <f t="shared" si="0"/>
        <v>1073.7539520792964</v>
      </c>
      <c r="C6" s="5">
        <f t="shared" si="1"/>
        <v>909.85298901206716</v>
      </c>
      <c r="D6" s="5">
        <f t="shared" si="2"/>
        <v>1024.7939520792963</v>
      </c>
      <c r="E6" s="6">
        <f t="shared" si="3"/>
        <v>0.27197179922264947</v>
      </c>
      <c r="F6" s="6">
        <f t="shared" si="4"/>
        <v>0.11754312673192635</v>
      </c>
      <c r="G6" s="5">
        <f t="shared" si="5"/>
        <v>860.89298901206712</v>
      </c>
      <c r="H6" s="6">
        <f t="shared" si="6"/>
        <v>0.3465564380487528</v>
      </c>
      <c r="I6" s="6">
        <f t="shared" si="7"/>
        <v>0.18637362728274054</v>
      </c>
      <c r="J6" s="5">
        <v>18.728367234190383</v>
      </c>
      <c r="K6" s="5">
        <v>344.29089885163398</v>
      </c>
      <c r="L6" s="5">
        <v>246.18273342777613</v>
      </c>
      <c r="M6" s="5">
        <v>181.43330502258061</v>
      </c>
      <c r="N6" s="5">
        <v>119.21768447588605</v>
      </c>
      <c r="O6" s="5">
        <v>163.9009630672293</v>
      </c>
      <c r="P6" s="5">
        <v>-48.959999999999994</v>
      </c>
      <c r="Q6" s="5">
        <v>0</v>
      </c>
      <c r="R6" s="5">
        <v>0</v>
      </c>
    </row>
    <row r="7" spans="1:23">
      <c r="A7" s="3">
        <v>2025</v>
      </c>
      <c r="B7" s="5">
        <f t="shared" si="0"/>
        <v>1029.5228405198286</v>
      </c>
      <c r="C7" s="5">
        <f t="shared" si="1"/>
        <v>870.31724933206283</v>
      </c>
      <c r="D7" s="5">
        <f t="shared" si="2"/>
        <v>980.77284051982861</v>
      </c>
      <c r="E7" s="6">
        <f t="shared" si="3"/>
        <v>0.30324502305445689</v>
      </c>
      <c r="F7" s="6">
        <f t="shared" si="4"/>
        <v>0.15544999804565074</v>
      </c>
      <c r="G7" s="5">
        <f t="shared" si="5"/>
        <v>821.56724933206283</v>
      </c>
      <c r="H7" s="6">
        <f t="shared" si="6"/>
        <v>0.37640585225104373</v>
      </c>
      <c r="I7" s="6">
        <f t="shared" si="7"/>
        <v>0.22354021980776873</v>
      </c>
      <c r="J7" s="5">
        <v>19.184237753835522</v>
      </c>
      <c r="K7" s="5">
        <v>314.49346756792488</v>
      </c>
      <c r="L7" s="5">
        <v>242.3193964679482</v>
      </c>
      <c r="M7" s="5">
        <v>176.23045801347024</v>
      </c>
      <c r="N7" s="5">
        <v>118.08968952888404</v>
      </c>
      <c r="O7" s="5">
        <v>159.20559118776586</v>
      </c>
      <c r="P7" s="5">
        <v>-48.749999999999993</v>
      </c>
      <c r="Q7" s="5">
        <v>0</v>
      </c>
      <c r="R7" s="5">
        <v>0</v>
      </c>
    </row>
    <row r="8" spans="1:23">
      <c r="A8" s="3">
        <v>2026</v>
      </c>
      <c r="B8" s="5">
        <f t="shared" si="0"/>
        <v>985.29172896036107</v>
      </c>
      <c r="C8" s="5">
        <f t="shared" si="1"/>
        <v>830.78150965205862</v>
      </c>
      <c r="D8" s="5">
        <f t="shared" si="2"/>
        <v>936.75172896036111</v>
      </c>
      <c r="E8" s="6">
        <f t="shared" si="3"/>
        <v>0.33451824688626408</v>
      </c>
      <c r="F8" s="6">
        <f t="shared" si="4"/>
        <v>0.19335686935937502</v>
      </c>
      <c r="G8" s="5">
        <f t="shared" si="5"/>
        <v>782.24150965205865</v>
      </c>
      <c r="H8" s="6">
        <f t="shared" si="6"/>
        <v>0.40625526645333454</v>
      </c>
      <c r="I8" s="6">
        <f t="shared" si="7"/>
        <v>0.2607068123327968</v>
      </c>
      <c r="J8" s="5">
        <v>19.64010827348066</v>
      </c>
      <c r="K8" s="5">
        <v>284.69603628421578</v>
      </c>
      <c r="L8" s="5">
        <v>238.45605950812026</v>
      </c>
      <c r="M8" s="5">
        <v>171.02761100435987</v>
      </c>
      <c r="N8" s="5">
        <v>116.96169458188203</v>
      </c>
      <c r="O8" s="5">
        <v>154.51021930830242</v>
      </c>
      <c r="P8" s="5">
        <v>-48.539999999999992</v>
      </c>
      <c r="Q8" s="5">
        <v>0</v>
      </c>
      <c r="R8" s="5">
        <v>0</v>
      </c>
    </row>
    <row r="9" spans="1:23">
      <c r="A9" s="3">
        <v>2027</v>
      </c>
      <c r="B9" s="5">
        <f t="shared" si="0"/>
        <v>941.06061740089342</v>
      </c>
      <c r="C9" s="5">
        <f t="shared" si="1"/>
        <v>791.2457699720544</v>
      </c>
      <c r="D9" s="5">
        <f t="shared" si="2"/>
        <v>892.73061740089338</v>
      </c>
      <c r="E9" s="6">
        <f t="shared" si="3"/>
        <v>0.36579147071807139</v>
      </c>
      <c r="F9" s="6">
        <f t="shared" si="4"/>
        <v>0.2312637406730994</v>
      </c>
      <c r="G9" s="5">
        <f t="shared" si="5"/>
        <v>742.91576997205436</v>
      </c>
      <c r="H9" s="6">
        <f t="shared" si="6"/>
        <v>0.43610468065562558</v>
      </c>
      <c r="I9" s="6">
        <f t="shared" si="7"/>
        <v>0.2978734048578251</v>
      </c>
      <c r="J9" s="5">
        <v>20.095978793125798</v>
      </c>
      <c r="K9" s="5">
        <v>254.89860500050668</v>
      </c>
      <c r="L9" s="5">
        <v>234.59272254829233</v>
      </c>
      <c r="M9" s="5">
        <v>165.8247639952495</v>
      </c>
      <c r="N9" s="5">
        <v>115.83369963488002</v>
      </c>
      <c r="O9" s="5">
        <v>149.81484742883899</v>
      </c>
      <c r="P9" s="5">
        <v>-48.329999999999991</v>
      </c>
      <c r="Q9" s="5">
        <v>0</v>
      </c>
      <c r="R9" s="5">
        <v>0</v>
      </c>
    </row>
    <row r="10" spans="1:23">
      <c r="A10" s="3">
        <v>2028</v>
      </c>
      <c r="B10" s="5">
        <f t="shared" si="0"/>
        <v>896.82950584142554</v>
      </c>
      <c r="C10" s="5">
        <f t="shared" si="1"/>
        <v>751.71003029204996</v>
      </c>
      <c r="D10" s="5">
        <f t="shared" si="2"/>
        <v>848.70950584142554</v>
      </c>
      <c r="E10" s="6">
        <f t="shared" si="3"/>
        <v>0.39706469454987892</v>
      </c>
      <c r="F10" s="6">
        <f t="shared" si="4"/>
        <v>0.2691706119868239</v>
      </c>
      <c r="G10" s="5">
        <f t="shared" si="5"/>
        <v>703.59003029204996</v>
      </c>
      <c r="H10" s="6">
        <f t="shared" si="6"/>
        <v>0.46595409485791661</v>
      </c>
      <c r="I10" s="6">
        <f t="shared" si="7"/>
        <v>0.33503999738285339</v>
      </c>
      <c r="J10" s="5">
        <v>20.551849312770937</v>
      </c>
      <c r="K10" s="5">
        <v>225.10117371679758</v>
      </c>
      <c r="L10" s="5">
        <v>230.7293855884644</v>
      </c>
      <c r="M10" s="5">
        <v>160.62191698613913</v>
      </c>
      <c r="N10" s="5">
        <v>114.70570468787801</v>
      </c>
      <c r="O10" s="5">
        <v>145.11947554937555</v>
      </c>
      <c r="P10" s="5">
        <v>-48.11999999999999</v>
      </c>
      <c r="Q10" s="5">
        <v>0</v>
      </c>
      <c r="R10" s="5">
        <v>0</v>
      </c>
    </row>
    <row r="11" spans="1:23">
      <c r="A11" s="3">
        <v>2029</v>
      </c>
      <c r="B11" s="5">
        <f t="shared" si="0"/>
        <v>852.59839428195801</v>
      </c>
      <c r="C11" s="5">
        <f t="shared" si="1"/>
        <v>712.17429061204587</v>
      </c>
      <c r="D11" s="5">
        <f t="shared" si="2"/>
        <v>804.68839428195804</v>
      </c>
      <c r="E11" s="6">
        <f t="shared" si="3"/>
        <v>0.42833791838168611</v>
      </c>
      <c r="F11" s="6">
        <f t="shared" si="4"/>
        <v>0.30707748330054807</v>
      </c>
      <c r="G11" s="5">
        <f t="shared" si="5"/>
        <v>664.2642906120459</v>
      </c>
      <c r="H11" s="6">
        <f t="shared" si="6"/>
        <v>0.49580350906020731</v>
      </c>
      <c r="I11" s="6">
        <f t="shared" si="7"/>
        <v>0.37220658990788136</v>
      </c>
      <c r="J11" s="5">
        <v>21.007719832416075</v>
      </c>
      <c r="K11" s="5">
        <v>195.30374243308847</v>
      </c>
      <c r="L11" s="5">
        <v>226.86604862863646</v>
      </c>
      <c r="M11" s="5">
        <v>155.41906997702876</v>
      </c>
      <c r="N11" s="5">
        <v>113.577709740876</v>
      </c>
      <c r="O11" s="5">
        <v>140.42410366991211</v>
      </c>
      <c r="P11" s="5">
        <v>-47.909999999999989</v>
      </c>
      <c r="Q11" s="5">
        <v>0</v>
      </c>
      <c r="R11" s="5">
        <v>0</v>
      </c>
    </row>
    <row r="12" spans="1:23">
      <c r="A12" s="3">
        <v>2030</v>
      </c>
      <c r="B12" s="5">
        <f t="shared" si="0"/>
        <v>808.36728272249059</v>
      </c>
      <c r="C12" s="5">
        <f t="shared" si="1"/>
        <v>672.63855093204177</v>
      </c>
      <c r="D12" s="5">
        <f t="shared" si="2"/>
        <v>760.66728272249054</v>
      </c>
      <c r="E12" s="6">
        <f t="shared" si="3"/>
        <v>0.45961114221349331</v>
      </c>
      <c r="F12" s="6">
        <f t="shared" si="4"/>
        <v>0.34498435461427235</v>
      </c>
      <c r="G12" s="5">
        <f t="shared" si="5"/>
        <v>624.93855093204172</v>
      </c>
      <c r="H12" s="6">
        <f t="shared" si="6"/>
        <v>0.52565292326249824</v>
      </c>
      <c r="I12" s="6">
        <f t="shared" si="7"/>
        <v>0.40937318243290954</v>
      </c>
      <c r="J12" s="5">
        <v>21.463590352061217</v>
      </c>
      <c r="K12" s="5">
        <v>165.50631114937948</v>
      </c>
      <c r="L12" s="5">
        <v>223.00271166880853</v>
      </c>
      <c r="M12" s="5">
        <v>150.21622296791844</v>
      </c>
      <c r="N12" s="5">
        <v>112.44971479387402</v>
      </c>
      <c r="O12" s="5">
        <v>135.72873179044879</v>
      </c>
      <c r="P12" s="5">
        <v>-47.7</v>
      </c>
      <c r="Q12" s="5">
        <v>0</v>
      </c>
      <c r="R12" s="5">
        <v>0</v>
      </c>
    </row>
    <row r="13" spans="1:23">
      <c r="A13" s="3">
        <v>2031</v>
      </c>
      <c r="B13" s="5">
        <f t="shared" si="0"/>
        <v>770.74422929579782</v>
      </c>
      <c r="C13" s="5">
        <f t="shared" si="1"/>
        <v>640.27200541421075</v>
      </c>
      <c r="D13" s="5">
        <f t="shared" si="2"/>
        <v>722.92497929579781</v>
      </c>
      <c r="E13" s="6">
        <f t="shared" si="3"/>
        <v>0.48642381143463431</v>
      </c>
      <c r="F13" s="6">
        <f t="shared" si="4"/>
        <v>0.37748450257501776</v>
      </c>
      <c r="G13" s="5">
        <f t="shared" si="5"/>
        <v>592.45275541421074</v>
      </c>
      <c r="H13" s="6">
        <f t="shared" si="6"/>
        <v>0.55031061499297862</v>
      </c>
      <c r="I13" s="6">
        <f t="shared" si="7"/>
        <v>0.44007537226295923</v>
      </c>
      <c r="J13" s="5">
        <v>20.50261879438062</v>
      </c>
      <c r="K13" s="5">
        <v>152.25677743626031</v>
      </c>
      <c r="L13" s="5">
        <v>214.67162468309849</v>
      </c>
      <c r="M13" s="5">
        <v>142.92687895757649</v>
      </c>
      <c r="N13" s="5">
        <v>109.91410554289479</v>
      </c>
      <c r="O13" s="5">
        <v>130.47222388158701</v>
      </c>
      <c r="P13" s="5">
        <v>-47.819250000000004</v>
      </c>
      <c r="Q13" s="5">
        <v>0</v>
      </c>
      <c r="R13" s="5">
        <v>0</v>
      </c>
    </row>
    <row r="14" spans="1:23">
      <c r="A14" s="3">
        <v>2032</v>
      </c>
      <c r="B14" s="5">
        <f t="shared" si="0"/>
        <v>733.12117586910495</v>
      </c>
      <c r="C14" s="5">
        <f t="shared" si="1"/>
        <v>607.90545989637974</v>
      </c>
      <c r="D14" s="5">
        <f t="shared" si="2"/>
        <v>685.18267586910497</v>
      </c>
      <c r="E14" s="6">
        <f t="shared" si="3"/>
        <v>0.51323648065577521</v>
      </c>
      <c r="F14" s="6">
        <f t="shared" si="4"/>
        <v>0.40998465053576327</v>
      </c>
      <c r="G14" s="5">
        <f t="shared" si="5"/>
        <v>559.96695989637976</v>
      </c>
      <c r="H14" s="6">
        <f t="shared" si="6"/>
        <v>0.57496830672345889</v>
      </c>
      <c r="I14" s="6">
        <f t="shared" si="7"/>
        <v>0.47077756209300903</v>
      </c>
      <c r="J14" s="5">
        <v>19.541647236700022</v>
      </c>
      <c r="K14" s="5">
        <v>139.00724372314113</v>
      </c>
      <c r="L14" s="5">
        <v>206.34053769738844</v>
      </c>
      <c r="M14" s="5">
        <v>135.63753494723454</v>
      </c>
      <c r="N14" s="5">
        <v>107.37849629191558</v>
      </c>
      <c r="O14" s="5">
        <v>125.21571597272523</v>
      </c>
      <c r="P14" s="5">
        <v>-47.938500000000005</v>
      </c>
      <c r="Q14" s="5">
        <v>0</v>
      </c>
      <c r="R14" s="5">
        <v>0</v>
      </c>
    </row>
    <row r="15" spans="1:23">
      <c r="A15" s="3">
        <v>2033</v>
      </c>
      <c r="B15" s="5">
        <f t="shared" si="0"/>
        <v>695.49812244241218</v>
      </c>
      <c r="C15" s="5">
        <f t="shared" si="1"/>
        <v>575.53891437854872</v>
      </c>
      <c r="D15" s="5">
        <f t="shared" si="2"/>
        <v>647.44037244241213</v>
      </c>
      <c r="E15" s="6">
        <f t="shared" si="3"/>
        <v>0.54004914987691632</v>
      </c>
      <c r="F15" s="6">
        <f t="shared" si="4"/>
        <v>0.44248479849650868</v>
      </c>
      <c r="G15" s="5">
        <f t="shared" si="5"/>
        <v>527.48116437854867</v>
      </c>
      <c r="H15" s="6">
        <f t="shared" si="6"/>
        <v>0.59962599845393927</v>
      </c>
      <c r="I15" s="6">
        <f t="shared" si="7"/>
        <v>0.50147975192305894</v>
      </c>
      <c r="J15" s="5">
        <v>18.580675679019425</v>
      </c>
      <c r="K15" s="5">
        <v>125.75771001002195</v>
      </c>
      <c r="L15" s="5">
        <v>198.0094507116784</v>
      </c>
      <c r="M15" s="5">
        <v>128.34819093689259</v>
      </c>
      <c r="N15" s="5">
        <v>104.84288704093635</v>
      </c>
      <c r="O15" s="5">
        <v>119.95920806386346</v>
      </c>
      <c r="P15" s="5">
        <v>-48.057750000000006</v>
      </c>
      <c r="Q15" s="5">
        <v>0</v>
      </c>
      <c r="R15" s="5">
        <v>0</v>
      </c>
    </row>
    <row r="16" spans="1:23">
      <c r="A16" s="3">
        <v>2034</v>
      </c>
      <c r="B16" s="5">
        <f t="shared" si="0"/>
        <v>657.87506901571953</v>
      </c>
      <c r="C16" s="5">
        <f t="shared" si="1"/>
        <v>543.17236886071782</v>
      </c>
      <c r="D16" s="5">
        <f t="shared" si="2"/>
        <v>609.69806901571951</v>
      </c>
      <c r="E16" s="6">
        <f t="shared" si="3"/>
        <v>0.56686181909805722</v>
      </c>
      <c r="F16" s="6">
        <f t="shared" si="4"/>
        <v>0.47498494645725409</v>
      </c>
      <c r="G16" s="5">
        <f t="shared" si="5"/>
        <v>494.9953688607178</v>
      </c>
      <c r="H16" s="6">
        <f t="shared" si="6"/>
        <v>0.62428369018441954</v>
      </c>
      <c r="I16" s="6">
        <f t="shared" si="7"/>
        <v>0.53218194175310851</v>
      </c>
      <c r="J16" s="5">
        <v>17.619704121338827</v>
      </c>
      <c r="K16" s="5">
        <v>112.50817629690277</v>
      </c>
      <c r="L16" s="5">
        <v>189.67836372596835</v>
      </c>
      <c r="M16" s="5">
        <v>121.05884692655067</v>
      </c>
      <c r="N16" s="5">
        <v>102.30727778995714</v>
      </c>
      <c r="O16" s="5">
        <v>114.70270015500168</v>
      </c>
      <c r="P16" s="5">
        <v>-48.177000000000007</v>
      </c>
      <c r="Q16" s="5">
        <v>0</v>
      </c>
      <c r="R16" s="5">
        <v>0</v>
      </c>
    </row>
    <row r="17" spans="1:18">
      <c r="A17" s="3">
        <v>2035</v>
      </c>
      <c r="B17" s="5">
        <f t="shared" si="0"/>
        <v>620.25201558902654</v>
      </c>
      <c r="C17" s="5">
        <f t="shared" si="1"/>
        <v>510.8058233428867</v>
      </c>
      <c r="D17" s="5">
        <f t="shared" si="2"/>
        <v>571.95576558902656</v>
      </c>
      <c r="E17" s="6">
        <f t="shared" si="3"/>
        <v>0.59367448831919822</v>
      </c>
      <c r="F17" s="6">
        <f t="shared" si="4"/>
        <v>0.5074850944179996</v>
      </c>
      <c r="G17" s="5">
        <f t="shared" si="5"/>
        <v>462.50957334288671</v>
      </c>
      <c r="H17" s="6">
        <f t="shared" si="6"/>
        <v>0.64894138191489992</v>
      </c>
      <c r="I17" s="6">
        <f t="shared" si="7"/>
        <v>0.56288413158315831</v>
      </c>
      <c r="J17" s="5">
        <v>16.65873256365823</v>
      </c>
      <c r="K17" s="5">
        <v>99.258642583783583</v>
      </c>
      <c r="L17" s="5">
        <v>181.34727674025831</v>
      </c>
      <c r="M17" s="5">
        <v>113.76950291620872</v>
      </c>
      <c r="N17" s="5">
        <v>99.771668538977906</v>
      </c>
      <c r="O17" s="5">
        <v>109.4461922461399</v>
      </c>
      <c r="P17" s="5">
        <v>-48.296250000000008</v>
      </c>
      <c r="Q17" s="5">
        <v>0</v>
      </c>
      <c r="R17" s="5">
        <v>0</v>
      </c>
    </row>
    <row r="18" spans="1:18">
      <c r="A18" s="3">
        <v>2036</v>
      </c>
      <c r="B18" s="5">
        <f t="shared" si="0"/>
        <v>585.50784786029521</v>
      </c>
      <c r="C18" s="5">
        <f t="shared" si="1"/>
        <v>481.31816352301712</v>
      </c>
      <c r="D18" s="5">
        <f t="shared" si="2"/>
        <v>537.09234786029515</v>
      </c>
      <c r="E18" s="6">
        <f t="shared" si="3"/>
        <v>0.61844195618968933</v>
      </c>
      <c r="F18" s="6">
        <f t="shared" si="4"/>
        <v>0.53750621479825966</v>
      </c>
      <c r="G18" s="5">
        <f t="shared" si="5"/>
        <v>432.90266352301711</v>
      </c>
      <c r="H18" s="6">
        <f t="shared" si="6"/>
        <v>0.67141391317951893</v>
      </c>
      <c r="I18" s="6">
        <f t="shared" si="7"/>
        <v>0.5908654985492795</v>
      </c>
      <c r="J18" s="5">
        <v>15.697761005977632</v>
      </c>
      <c r="K18" s="5">
        <v>88.887994568625729</v>
      </c>
      <c r="L18" s="5">
        <v>173.01618975454826</v>
      </c>
      <c r="M18" s="5">
        <v>106.48015890586677</v>
      </c>
      <c r="N18" s="5">
        <v>97.2360592879987</v>
      </c>
      <c r="O18" s="5">
        <v>104.18968433727812</v>
      </c>
      <c r="P18" s="5">
        <v>-48.415500000000009</v>
      </c>
      <c r="Q18" s="5">
        <v>0</v>
      </c>
      <c r="R18" s="5">
        <v>-11.519957124622692</v>
      </c>
    </row>
    <row r="19" spans="1:18">
      <c r="A19" s="3">
        <v>2037</v>
      </c>
      <c r="B19" s="5">
        <f t="shared" si="0"/>
        <v>550.76368013156377</v>
      </c>
      <c r="C19" s="5">
        <f t="shared" si="1"/>
        <v>451.83050370314743</v>
      </c>
      <c r="D19" s="5">
        <f t="shared" si="2"/>
        <v>502.22893013156374</v>
      </c>
      <c r="E19" s="6">
        <f t="shared" si="3"/>
        <v>0.64320942406018045</v>
      </c>
      <c r="F19" s="6">
        <f t="shared" si="4"/>
        <v>0.56752733517851983</v>
      </c>
      <c r="G19" s="5">
        <f t="shared" si="5"/>
        <v>403.2957537031474</v>
      </c>
      <c r="H19" s="6">
        <f t="shared" si="6"/>
        <v>0.69388644444413794</v>
      </c>
      <c r="I19" s="6">
        <f t="shared" si="7"/>
        <v>0.61884686551540069</v>
      </c>
      <c r="J19" s="5">
        <v>14.736789448297035</v>
      </c>
      <c r="K19" s="5">
        <v>78.517346553467874</v>
      </c>
      <c r="L19" s="5">
        <v>164.68510276883822</v>
      </c>
      <c r="M19" s="5">
        <v>99.190814895524838</v>
      </c>
      <c r="N19" s="5">
        <v>94.700450037019465</v>
      </c>
      <c r="O19" s="5">
        <v>98.933176428416346</v>
      </c>
      <c r="P19" s="5">
        <v>-48.53475000000001</v>
      </c>
      <c r="Q19" s="5">
        <v>0</v>
      </c>
      <c r="R19" s="5">
        <v>-23.039914249245385</v>
      </c>
    </row>
    <row r="20" spans="1:18">
      <c r="A20" s="3">
        <v>2038</v>
      </c>
      <c r="B20" s="5">
        <f t="shared" si="0"/>
        <v>516.01951240283233</v>
      </c>
      <c r="C20" s="5">
        <f t="shared" si="1"/>
        <v>422.34284388327779</v>
      </c>
      <c r="D20" s="5">
        <f t="shared" si="2"/>
        <v>467.36551240283234</v>
      </c>
      <c r="E20" s="6">
        <f t="shared" si="3"/>
        <v>0.66797689193067145</v>
      </c>
      <c r="F20" s="6">
        <f t="shared" si="4"/>
        <v>0.59754845555877989</v>
      </c>
      <c r="G20" s="5">
        <f t="shared" si="5"/>
        <v>373.6888438832778</v>
      </c>
      <c r="H20" s="6">
        <f t="shared" si="6"/>
        <v>0.71635897570875695</v>
      </c>
      <c r="I20" s="6">
        <f t="shared" si="7"/>
        <v>0.64682823248152177</v>
      </c>
      <c r="J20" s="5">
        <v>13.775817890616437</v>
      </c>
      <c r="K20" s="5">
        <v>68.146698538310019</v>
      </c>
      <c r="L20" s="5">
        <v>156.35401578312818</v>
      </c>
      <c r="M20" s="5">
        <v>91.901470885182903</v>
      </c>
      <c r="N20" s="5">
        <v>92.164840786040259</v>
      </c>
      <c r="O20" s="5">
        <v>93.676668519554568</v>
      </c>
      <c r="P20" s="5">
        <v>-48.654000000000011</v>
      </c>
      <c r="Q20" s="5">
        <v>0</v>
      </c>
      <c r="R20" s="5">
        <v>-34.559871373868077</v>
      </c>
    </row>
    <row r="21" spans="1:18">
      <c r="A21" s="3">
        <v>2039</v>
      </c>
      <c r="B21" s="5">
        <f t="shared" si="0"/>
        <v>481.27534467410089</v>
      </c>
      <c r="C21" s="5">
        <f t="shared" si="1"/>
        <v>392.8551840634081</v>
      </c>
      <c r="D21" s="5">
        <f t="shared" si="2"/>
        <v>432.50209467410087</v>
      </c>
      <c r="E21" s="6">
        <f t="shared" si="3"/>
        <v>0.69274435980116245</v>
      </c>
      <c r="F21" s="6">
        <f t="shared" si="4"/>
        <v>0.62756957593904006</v>
      </c>
      <c r="G21" s="5">
        <f t="shared" si="5"/>
        <v>344.08193406340808</v>
      </c>
      <c r="H21" s="6">
        <f t="shared" si="6"/>
        <v>0.73883150697337596</v>
      </c>
      <c r="I21" s="6">
        <f t="shared" si="7"/>
        <v>0.67480959944764307</v>
      </c>
      <c r="J21" s="5">
        <v>12.81484633293584</v>
      </c>
      <c r="K21" s="5">
        <v>57.776050523152165</v>
      </c>
      <c r="L21" s="5">
        <v>148.02292879741813</v>
      </c>
      <c r="M21" s="5">
        <v>84.612126874840953</v>
      </c>
      <c r="N21" s="5">
        <v>89.629231535061024</v>
      </c>
      <c r="O21" s="5">
        <v>88.42016061069279</v>
      </c>
      <c r="P21" s="5">
        <v>-48.773250000000012</v>
      </c>
      <c r="Q21" s="5">
        <v>0</v>
      </c>
      <c r="R21" s="5">
        <v>-46.07982849849077</v>
      </c>
    </row>
    <row r="22" spans="1:18">
      <c r="A22" s="3">
        <v>2040</v>
      </c>
      <c r="B22" s="5">
        <f t="shared" si="0"/>
        <v>446.53117694536951</v>
      </c>
      <c r="C22" s="5">
        <f t="shared" si="1"/>
        <v>363.36752424353847</v>
      </c>
      <c r="D22" s="5">
        <f t="shared" si="2"/>
        <v>397.63867694536953</v>
      </c>
      <c r="E22" s="6">
        <f t="shared" si="3"/>
        <v>0.71751182767165345</v>
      </c>
      <c r="F22" s="6">
        <f t="shared" si="4"/>
        <v>0.65759069631930012</v>
      </c>
      <c r="G22" s="5">
        <f t="shared" si="5"/>
        <v>314.47502424353848</v>
      </c>
      <c r="H22" s="6">
        <f t="shared" si="6"/>
        <v>0.76130403823799497</v>
      </c>
      <c r="I22" s="6">
        <f t="shared" si="7"/>
        <v>0.70279096641376415</v>
      </c>
      <c r="J22" s="5">
        <v>11.853874775255246</v>
      </c>
      <c r="K22" s="5">
        <v>47.405402507994303</v>
      </c>
      <c r="L22" s="5">
        <v>139.69184181170809</v>
      </c>
      <c r="M22" s="5">
        <v>77.322782864499032</v>
      </c>
      <c r="N22" s="5">
        <v>87.093622284081789</v>
      </c>
      <c r="O22" s="5">
        <v>83.163652701831026</v>
      </c>
      <c r="P22" s="5">
        <v>-48.892500000000005</v>
      </c>
      <c r="Q22" s="5">
        <v>0</v>
      </c>
      <c r="R22" s="5">
        <v>-57.599785623113462</v>
      </c>
    </row>
    <row r="23" spans="1:18">
      <c r="A23" s="3">
        <v>2041</v>
      </c>
      <c r="B23" s="5">
        <f t="shared" si="0"/>
        <v>413.54498668407376</v>
      </c>
      <c r="C23" s="5">
        <f t="shared" si="1"/>
        <v>335.63784189110453</v>
      </c>
      <c r="D23" s="5">
        <f t="shared" si="2"/>
        <v>364.53323668407376</v>
      </c>
      <c r="E23" s="6">
        <f t="shared" si="3"/>
        <v>0.74103040334286152</v>
      </c>
      <c r="F23" s="6">
        <f t="shared" si="4"/>
        <v>0.68609801063538378</v>
      </c>
      <c r="G23" s="5">
        <f t="shared" si="5"/>
        <v>286.62609189110452</v>
      </c>
      <c r="H23" s="6">
        <f t="shared" si="6"/>
        <v>0.78244221195433206</v>
      </c>
      <c r="I23" s="6">
        <f t="shared" si="7"/>
        <v>0.7291108762087799</v>
      </c>
      <c r="J23" s="5">
        <v>10.668487297729721</v>
      </c>
      <c r="K23" s="5">
        <v>42.664862257194869</v>
      </c>
      <c r="L23" s="5">
        <v>126.43284459627304</v>
      </c>
      <c r="M23" s="5">
        <v>70.143501553510518</v>
      </c>
      <c r="N23" s="5">
        <v>85.728146186396373</v>
      </c>
      <c r="O23" s="5">
        <v>77.907144792969248</v>
      </c>
      <c r="P23" s="5">
        <v>-49.011750000000006</v>
      </c>
      <c r="Q23" s="5">
        <v>0</v>
      </c>
      <c r="R23" s="5">
        <v>-67.740398758643011</v>
      </c>
    </row>
    <row r="24" spans="1:18">
      <c r="A24" s="3">
        <v>2042</v>
      </c>
      <c r="B24" s="5">
        <f t="shared" si="0"/>
        <v>373.90036898953684</v>
      </c>
      <c r="C24" s="5">
        <f t="shared" si="1"/>
        <v>301.24973210542936</v>
      </c>
      <c r="D24" s="5">
        <f t="shared" si="2"/>
        <v>324.76936898953682</v>
      </c>
      <c r="E24" s="6">
        <f t="shared" si="3"/>
        <v>0.7692792205756962</v>
      </c>
      <c r="F24" s="6">
        <f t="shared" si="4"/>
        <v>0.72033894100345375</v>
      </c>
      <c r="G24" s="5">
        <f t="shared" si="5"/>
        <v>252.11873210542936</v>
      </c>
      <c r="H24" s="6">
        <f t="shared" si="6"/>
        <v>0.80863433150888997</v>
      </c>
      <c r="I24" s="6">
        <f t="shared" si="7"/>
        <v>0.76172363799545395</v>
      </c>
      <c r="J24" s="5">
        <v>9.4830998202041954</v>
      </c>
      <c r="K24" s="5">
        <v>37.924322006395442</v>
      </c>
      <c r="L24" s="5">
        <v>113.173847380838</v>
      </c>
      <c r="M24" s="5">
        <v>62.964220242522011</v>
      </c>
      <c r="N24" s="5">
        <v>84.362670088710956</v>
      </c>
      <c r="O24" s="5">
        <v>72.65063688410747</v>
      </c>
      <c r="P24" s="5">
        <v>-49.131000000000007</v>
      </c>
      <c r="Q24" s="5">
        <v>-6.6584274332412434</v>
      </c>
      <c r="R24" s="5">
        <v>-77.881011894172559</v>
      </c>
    </row>
    <row r="25" spans="1:18">
      <c r="A25" s="3">
        <v>2043</v>
      </c>
      <c r="B25" s="5">
        <f t="shared" si="0"/>
        <v>334.25575129499987</v>
      </c>
      <c r="C25" s="5">
        <f t="shared" si="1"/>
        <v>266.86162231975425</v>
      </c>
      <c r="D25" s="5">
        <f t="shared" si="2"/>
        <v>285.00550129499987</v>
      </c>
      <c r="E25" s="6">
        <f t="shared" si="3"/>
        <v>0.79752803780853077</v>
      </c>
      <c r="F25" s="6">
        <f t="shared" si="4"/>
        <v>0.75457987137152371</v>
      </c>
      <c r="G25" s="5">
        <f t="shared" si="5"/>
        <v>217.61137231975425</v>
      </c>
      <c r="H25" s="6">
        <f t="shared" si="6"/>
        <v>0.83482645106344788</v>
      </c>
      <c r="I25" s="6">
        <f t="shared" si="7"/>
        <v>0.794336399782128</v>
      </c>
      <c r="J25" s="5">
        <v>8.2977123426786701</v>
      </c>
      <c r="K25" s="5">
        <v>33.183781755596016</v>
      </c>
      <c r="L25" s="5">
        <v>99.914850165402953</v>
      </c>
      <c r="M25" s="5">
        <v>55.784938931533503</v>
      </c>
      <c r="N25" s="5">
        <v>82.99719399102554</v>
      </c>
      <c r="O25" s="5">
        <v>67.394128975245692</v>
      </c>
      <c r="P25" s="5">
        <v>-49.250250000000008</v>
      </c>
      <c r="Q25" s="5">
        <v>-13.316854866482487</v>
      </c>
      <c r="R25" s="5">
        <v>-88.021625029702108</v>
      </c>
    </row>
    <row r="26" spans="1:18">
      <c r="A26" s="3">
        <v>2044</v>
      </c>
      <c r="B26" s="5">
        <f t="shared" si="0"/>
        <v>294.61113360046295</v>
      </c>
      <c r="C26" s="5">
        <f t="shared" si="1"/>
        <v>232.47351253407902</v>
      </c>
      <c r="D26" s="5">
        <f t="shared" si="2"/>
        <v>245.24163360046293</v>
      </c>
      <c r="E26" s="6">
        <f t="shared" si="3"/>
        <v>0.82577685504136544</v>
      </c>
      <c r="F26" s="6">
        <f t="shared" si="4"/>
        <v>0.78882080173959368</v>
      </c>
      <c r="G26" s="5">
        <f t="shared" si="5"/>
        <v>183.104012534079</v>
      </c>
      <c r="H26" s="6">
        <f t="shared" si="6"/>
        <v>0.86101857061800591</v>
      </c>
      <c r="I26" s="6">
        <f t="shared" si="7"/>
        <v>0.82694916156880205</v>
      </c>
      <c r="J26" s="5">
        <v>7.1123248651531457</v>
      </c>
      <c r="K26" s="5">
        <v>28.443241504796585</v>
      </c>
      <c r="L26" s="5">
        <v>86.655852949967908</v>
      </c>
      <c r="M26" s="5">
        <v>48.605657620544989</v>
      </c>
      <c r="N26" s="5">
        <v>81.631717893340124</v>
      </c>
      <c r="O26" s="5">
        <v>62.137621066383915</v>
      </c>
      <c r="P26" s="5">
        <v>-49.369500000000009</v>
      </c>
      <c r="Q26" s="5">
        <v>-19.97528229972373</v>
      </c>
      <c r="R26" s="5">
        <v>-98.162238165231656</v>
      </c>
    </row>
    <row r="27" spans="1:18">
      <c r="A27" s="3">
        <v>2045</v>
      </c>
      <c r="B27" s="5">
        <f t="shared" si="0"/>
        <v>254.96651590592597</v>
      </c>
      <c r="C27" s="5">
        <f t="shared" si="1"/>
        <v>198.08540274840385</v>
      </c>
      <c r="D27" s="5">
        <f t="shared" si="2"/>
        <v>205.47776590592596</v>
      </c>
      <c r="E27" s="6">
        <f t="shared" si="3"/>
        <v>0.85402567227420012</v>
      </c>
      <c r="F27" s="6">
        <f t="shared" si="4"/>
        <v>0.82306173210766365</v>
      </c>
      <c r="G27" s="5">
        <f t="shared" si="5"/>
        <v>148.59665274840384</v>
      </c>
      <c r="H27" s="6">
        <f t="shared" si="6"/>
        <v>0.88721069017256382</v>
      </c>
      <c r="I27" s="6">
        <f t="shared" si="7"/>
        <v>0.8595619233554761</v>
      </c>
      <c r="J27" s="5">
        <v>5.9269373876276212</v>
      </c>
      <c r="K27" s="5">
        <v>23.702701253997155</v>
      </c>
      <c r="L27" s="5">
        <v>73.396855734532863</v>
      </c>
      <c r="M27" s="5">
        <v>41.426376309556474</v>
      </c>
      <c r="N27" s="5">
        <v>80.266241795654707</v>
      </c>
      <c r="O27" s="5">
        <v>56.881113157522137</v>
      </c>
      <c r="P27" s="5">
        <v>-49.48875000000001</v>
      </c>
      <c r="Q27" s="5">
        <v>-26.633709732964974</v>
      </c>
      <c r="R27" s="5">
        <v>-108.3028513007612</v>
      </c>
    </row>
    <row r="28" spans="1:18">
      <c r="A28" s="3">
        <v>2046</v>
      </c>
      <c r="B28" s="5">
        <f t="shared" si="0"/>
        <v>215.32189821138905</v>
      </c>
      <c r="C28" s="5">
        <f t="shared" si="1"/>
        <v>163.69729296272868</v>
      </c>
      <c r="D28" s="5">
        <f t="shared" si="2"/>
        <v>165.71389821138905</v>
      </c>
      <c r="E28" s="6">
        <f t="shared" si="3"/>
        <v>0.88227448950703469</v>
      </c>
      <c r="F28" s="6">
        <f t="shared" si="4"/>
        <v>0.85730266247573361</v>
      </c>
      <c r="G28" s="5">
        <f t="shared" si="5"/>
        <v>114.08929296272868</v>
      </c>
      <c r="H28" s="6">
        <f t="shared" si="6"/>
        <v>0.91340280972712184</v>
      </c>
      <c r="I28" s="6">
        <f t="shared" si="7"/>
        <v>0.89217468514215004</v>
      </c>
      <c r="J28" s="5">
        <v>4.7415499101020968</v>
      </c>
      <c r="K28" s="5">
        <v>18.962161003197725</v>
      </c>
      <c r="L28" s="5">
        <v>60.137858519097819</v>
      </c>
      <c r="M28" s="5">
        <v>34.247094998567967</v>
      </c>
      <c r="N28" s="5">
        <v>78.900765697969291</v>
      </c>
      <c r="O28" s="5">
        <v>51.624605248660359</v>
      </c>
      <c r="P28" s="5">
        <v>-49.608000000000011</v>
      </c>
      <c r="Q28" s="5">
        <v>-33.292137166206217</v>
      </c>
      <c r="R28" s="5">
        <v>-118.44346443629075</v>
      </c>
    </row>
    <row r="29" spans="1:18">
      <c r="A29" s="3">
        <v>2047</v>
      </c>
      <c r="B29" s="5">
        <f t="shared" si="0"/>
        <v>175.67728051685211</v>
      </c>
      <c r="C29" s="5">
        <f t="shared" si="1"/>
        <v>129.30918317705351</v>
      </c>
      <c r="D29" s="5">
        <f t="shared" si="2"/>
        <v>125.9500305168521</v>
      </c>
      <c r="E29" s="6">
        <f t="shared" si="3"/>
        <v>0.91052330673986936</v>
      </c>
      <c r="F29" s="6">
        <f t="shared" si="4"/>
        <v>0.89154359284380358</v>
      </c>
      <c r="G29" s="5">
        <f t="shared" si="5"/>
        <v>79.5819331770535</v>
      </c>
      <c r="H29" s="6">
        <f t="shared" si="6"/>
        <v>0.93959492928167976</v>
      </c>
      <c r="I29" s="6">
        <f t="shared" si="7"/>
        <v>0.92478744692882409</v>
      </c>
      <c r="J29" s="5">
        <v>3.5561624325765724</v>
      </c>
      <c r="K29" s="5">
        <v>14.221620752398294</v>
      </c>
      <c r="L29" s="5">
        <v>46.878861303662774</v>
      </c>
      <c r="M29" s="5">
        <v>27.067813687579456</v>
      </c>
      <c r="N29" s="5">
        <v>77.535289600283875</v>
      </c>
      <c r="O29" s="5">
        <v>46.368097339798581</v>
      </c>
      <c r="P29" s="5">
        <v>-49.727250000000012</v>
      </c>
      <c r="Q29" s="5">
        <v>-39.950564599447461</v>
      </c>
      <c r="R29" s="5">
        <v>-128.5840775718203</v>
      </c>
    </row>
    <row r="30" spans="1:18">
      <c r="A30" s="3">
        <v>2048</v>
      </c>
      <c r="B30" s="5">
        <f t="shared" si="0"/>
        <v>136.03266282231516</v>
      </c>
      <c r="C30" s="5">
        <f t="shared" si="1"/>
        <v>94.921073391378357</v>
      </c>
      <c r="D30" s="5">
        <f t="shared" si="2"/>
        <v>86.18616282231514</v>
      </c>
      <c r="E30" s="6">
        <f t="shared" si="3"/>
        <v>0.93877212397270404</v>
      </c>
      <c r="F30" s="6">
        <f t="shared" si="4"/>
        <v>0.92578452321187366</v>
      </c>
      <c r="G30" s="5">
        <f t="shared" si="5"/>
        <v>45.074573391378344</v>
      </c>
      <c r="H30" s="6">
        <f t="shared" si="6"/>
        <v>0.96578704883623778</v>
      </c>
      <c r="I30" s="6">
        <f t="shared" si="7"/>
        <v>0.95740020871549802</v>
      </c>
      <c r="J30" s="5">
        <v>2.370774955051048</v>
      </c>
      <c r="K30" s="5">
        <v>9.4810805015988642</v>
      </c>
      <c r="L30" s="5">
        <v>33.619864088227729</v>
      </c>
      <c r="M30" s="5">
        <v>19.888532376590945</v>
      </c>
      <c r="N30" s="5">
        <v>76.169813502598458</v>
      </c>
      <c r="O30" s="5">
        <v>41.111589430936803</v>
      </c>
      <c r="P30" s="5">
        <v>-49.846500000000013</v>
      </c>
      <c r="Q30" s="5">
        <v>-46.608992032688704</v>
      </c>
      <c r="R30" s="5">
        <v>-138.72469070734985</v>
      </c>
    </row>
    <row r="31" spans="1:18">
      <c r="A31" s="3">
        <v>2049</v>
      </c>
      <c r="B31" s="5">
        <f t="shared" si="0"/>
        <v>96.388045127778184</v>
      </c>
      <c r="C31" s="5">
        <f t="shared" si="1"/>
        <v>60.532963605703173</v>
      </c>
      <c r="D31" s="5">
        <f t="shared" si="2"/>
        <v>46.42229512777817</v>
      </c>
      <c r="E31" s="6">
        <f t="shared" si="3"/>
        <v>0.96702094120553861</v>
      </c>
      <c r="F31" s="6">
        <f t="shared" si="4"/>
        <v>0.96002545357994362</v>
      </c>
      <c r="G31" s="5">
        <f t="shared" si="5"/>
        <v>10.567213605703159</v>
      </c>
      <c r="H31" s="6">
        <f t="shared" si="6"/>
        <v>0.9919791683907957</v>
      </c>
      <c r="I31" s="6">
        <f t="shared" si="7"/>
        <v>0.99001297050217207</v>
      </c>
      <c r="J31" s="5">
        <v>1.1853874775255233</v>
      </c>
      <c r="K31" s="5">
        <v>4.7405402507994339</v>
      </c>
      <c r="L31" s="5">
        <v>20.36086687279268</v>
      </c>
      <c r="M31" s="5">
        <v>12.709251065602434</v>
      </c>
      <c r="N31" s="5">
        <v>74.804337404913042</v>
      </c>
      <c r="O31" s="5">
        <v>35.855081522075025</v>
      </c>
      <c r="P31" s="5">
        <v>-49.965750000000014</v>
      </c>
      <c r="Q31" s="5">
        <v>-53.267419465929947</v>
      </c>
      <c r="R31" s="5">
        <v>-148.8653038428794</v>
      </c>
    </row>
    <row r="32" spans="1:18">
      <c r="A32" s="3">
        <v>2050</v>
      </c>
      <c r="B32" s="5">
        <f t="shared" si="0"/>
        <v>50.085000000000008</v>
      </c>
      <c r="C32" s="5">
        <f t="shared" si="1"/>
        <v>19.486426386786775</v>
      </c>
      <c r="D32" s="5">
        <f t="shared" si="2"/>
        <v>0</v>
      </c>
      <c r="E32" s="6">
        <f t="shared" si="3"/>
        <v>1</v>
      </c>
      <c r="F32" s="6">
        <f t="shared" si="4"/>
        <v>1</v>
      </c>
      <c r="G32" s="5">
        <f t="shared" si="5"/>
        <v>-30.598573613213233</v>
      </c>
      <c r="H32" s="6">
        <f t="shared" si="6"/>
        <v>1.0232252337835746</v>
      </c>
      <c r="I32" s="6">
        <f t="shared" si="7"/>
        <v>1.0289185842805042</v>
      </c>
      <c r="J32" s="5">
        <v>0</v>
      </c>
      <c r="K32" s="5">
        <v>0</v>
      </c>
      <c r="L32" s="5">
        <v>7.1018696573575992</v>
      </c>
      <c r="M32" s="5">
        <v>5.5299697546139326</v>
      </c>
      <c r="N32" s="5">
        <v>73.438861307227683</v>
      </c>
      <c r="O32" s="5">
        <v>30.59857361321324</v>
      </c>
      <c r="P32" s="5">
        <v>-50.085000000000008</v>
      </c>
      <c r="Q32" s="5">
        <v>-66.584274332412434</v>
      </c>
      <c r="R32" s="5">
        <v>-159.005916978409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IGESRM20231114</vt:lpstr>
      <vt:lpstr>IGESRM20231114_steps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2024-01-14T05:21:44Z</dcterms:created>
  <dcterms:modified xsi:type="dcterms:W3CDTF">2025-12-08T06:02:52Z</dcterms:modified>
</cp:coreProperties>
</file>