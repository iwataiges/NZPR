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iwata/Downloads/20250429work_NZPR/inputs/1p5CRM/"/>
    </mc:Choice>
  </mc:AlternateContent>
  <xr:revisionPtr revIDLastSave="0" documentId="8_{F408E80E-57FE-4A4E-AD7C-7FEFEC1B6807}" xr6:coauthVersionLast="47" xr6:coauthVersionMax="47" xr10:uidLastSave="{00000000-0000-0000-0000-000000000000}"/>
  <bookViews>
    <workbookView xWindow="37220" yWindow="13760" windowWidth="30960" windowHeight="26300" xr2:uid="{4849A17A-A315-6349-8620-AE1D2F15B906}"/>
  </bookViews>
  <sheets>
    <sheet name="netozero計算フォーマット" sheetId="1" r:id="rId1"/>
  </sheets>
  <definedNames>
    <definedName name="tblDOUTAIwk_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10" i="1" l="1"/>
  <c r="BJ67" i="1"/>
  <c r="BK67" i="1" s="1"/>
  <c r="BJ66" i="1"/>
  <c r="BK66" i="1" s="1"/>
  <c r="BJ65" i="1"/>
  <c r="BK65" i="1" s="1"/>
  <c r="BJ64" i="1"/>
  <c r="BK64" i="1" s="1"/>
  <c r="BJ63" i="1"/>
  <c r="BK63" i="1" s="1"/>
  <c r="BJ62" i="1"/>
  <c r="BK62" i="1" s="1"/>
  <c r="BK57" i="1"/>
  <c r="BJ57" i="1"/>
  <c r="BJ56" i="1"/>
  <c r="BK56" i="1" s="1"/>
  <c r="BJ55" i="1"/>
  <c r="BK55" i="1" s="1"/>
  <c r="BK54" i="1"/>
  <c r="BJ54" i="1"/>
  <c r="BK53" i="1"/>
  <c r="BJ53" i="1"/>
  <c r="BJ52" i="1"/>
  <c r="BK52" i="1" s="1"/>
  <c r="BJ51" i="1"/>
  <c r="BK51" i="1" s="1"/>
  <c r="BK50" i="1"/>
  <c r="BJ50" i="1"/>
  <c r="BK49" i="1"/>
  <c r="BJ49" i="1"/>
  <c r="BJ48" i="1"/>
  <c r="BK48" i="1" s="1"/>
  <c r="BJ47" i="1"/>
  <c r="BK47" i="1" s="1"/>
  <c r="BK46" i="1"/>
  <c r="BJ46" i="1"/>
  <c r="BK45" i="1"/>
  <c r="BJ45" i="1"/>
  <c r="BJ44" i="1"/>
  <c r="BK44" i="1" s="1"/>
  <c r="BJ43" i="1"/>
  <c r="BK43" i="1" s="1"/>
  <c r="BK42" i="1"/>
  <c r="BJ42" i="1"/>
  <c r="BK41" i="1"/>
  <c r="BJ41" i="1"/>
  <c r="BO23" i="1"/>
  <c r="BJ38" i="1"/>
  <c r="BK38" i="1" s="1"/>
  <c r="BJ37" i="1"/>
  <c r="BK37" i="1" s="1"/>
  <c r="BJ36" i="1"/>
  <c r="BK36" i="1" s="1"/>
  <c r="BJ35" i="1"/>
  <c r="BK35" i="1" s="1"/>
  <c r="BJ34" i="1"/>
  <c r="BK34" i="1" s="1"/>
  <c r="BJ33" i="1"/>
  <c r="BK33" i="1" s="1"/>
  <c r="BJ32" i="1"/>
  <c r="BK32" i="1" s="1"/>
  <c r="BJ31" i="1"/>
  <c r="BK31" i="1" s="1"/>
  <c r="BJ30" i="1"/>
  <c r="BK30" i="1" s="1"/>
  <c r="BJ29" i="1"/>
  <c r="BK29" i="1" s="1"/>
  <c r="BJ28" i="1"/>
  <c r="BK28" i="1" s="1"/>
  <c r="BJ27" i="1"/>
  <c r="BK27" i="1" s="1"/>
  <c r="BJ26" i="1"/>
  <c r="BK26" i="1" s="1"/>
  <c r="BJ25" i="1"/>
  <c r="BK25" i="1" s="1"/>
  <c r="BJ24" i="1"/>
  <c r="BK24" i="1" s="1"/>
  <c r="BJ23" i="1"/>
  <c r="BK23" i="1" s="1"/>
  <c r="BJ22" i="1"/>
  <c r="BK22" i="1" s="1"/>
  <c r="BJ21" i="1"/>
  <c r="BK21" i="1" s="1"/>
  <c r="BJ20" i="1"/>
  <c r="BK20" i="1" s="1"/>
  <c r="BJ19" i="1"/>
  <c r="BK19" i="1" s="1"/>
  <c r="BJ18" i="1"/>
  <c r="BK18" i="1" s="1"/>
  <c r="BK15" i="1"/>
  <c r="BK14" i="1"/>
  <c r="BK13" i="1"/>
  <c r="BK12" i="1"/>
  <c r="BK11" i="1"/>
  <c r="BK10" i="1"/>
  <c r="AE73" i="1"/>
  <c r="AD73" i="1"/>
  <c r="AE72" i="1"/>
  <c r="AD72" i="1"/>
  <c r="AC71" i="1"/>
  <c r="AE71" i="1" s="1"/>
  <c r="AE70" i="1"/>
  <c r="AD70" i="1"/>
  <c r="AC70" i="1"/>
  <c r="AE67" i="1"/>
  <c r="AD67" i="1"/>
  <c r="AE66" i="1"/>
  <c r="AD66" i="1"/>
  <c r="AE65" i="1"/>
  <c r="AD65" i="1"/>
  <c r="AC65" i="1"/>
  <c r="AE64" i="1"/>
  <c r="AC64" i="1"/>
  <c r="AD64" i="1" s="1"/>
  <c r="AC63" i="1"/>
  <c r="AD63" i="1" s="1"/>
  <c r="AE62" i="1"/>
  <c r="AC62" i="1"/>
  <c r="AD62" i="1" s="1"/>
  <c r="AE59" i="1"/>
  <c r="AC59" i="1"/>
  <c r="AD59" i="1" s="1"/>
  <c r="AC57" i="1"/>
  <c r="AE57" i="1" s="1"/>
  <c r="AC56" i="1"/>
  <c r="AE56" i="1" s="1"/>
  <c r="AE55" i="1"/>
  <c r="AD55" i="1"/>
  <c r="AC55" i="1"/>
  <c r="AC54" i="1"/>
  <c r="AE54" i="1" s="1"/>
  <c r="AC53" i="1"/>
  <c r="AE53" i="1" s="1"/>
  <c r="AE52" i="1"/>
  <c r="AD52" i="1"/>
  <c r="AC52" i="1"/>
  <c r="AC51" i="1"/>
  <c r="AD51" i="1" s="1"/>
  <c r="AE50" i="1"/>
  <c r="AD50" i="1"/>
  <c r="AC50" i="1"/>
  <c r="AC49" i="1"/>
  <c r="AE49" i="1" s="1"/>
  <c r="AC48" i="1"/>
  <c r="AE48" i="1" s="1"/>
  <c r="AE47" i="1"/>
  <c r="AD47" i="1"/>
  <c r="AC47" i="1"/>
  <c r="AC46" i="1"/>
  <c r="AE46" i="1" s="1"/>
  <c r="AC45" i="1"/>
  <c r="AD45" i="1" s="1"/>
  <c r="AE44" i="1"/>
  <c r="AD44" i="1"/>
  <c r="AC44" i="1"/>
  <c r="AC43" i="1"/>
  <c r="AD43" i="1" s="1"/>
  <c r="AE42" i="1"/>
  <c r="AD42" i="1"/>
  <c r="AC42" i="1"/>
  <c r="AC41" i="1"/>
  <c r="AE41" i="1" s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2" i="1"/>
  <c r="AE21" i="1"/>
  <c r="AE20" i="1"/>
  <c r="AE19" i="1"/>
  <c r="AE18" i="1"/>
  <c r="AC38" i="1"/>
  <c r="AD38" i="1" s="1"/>
  <c r="AC37" i="1"/>
  <c r="AD37" i="1" s="1"/>
  <c r="AC36" i="1"/>
  <c r="AD36" i="1" s="1"/>
  <c r="AC35" i="1"/>
  <c r="AD35" i="1" s="1"/>
  <c r="AC34" i="1"/>
  <c r="AD34" i="1" s="1"/>
  <c r="AC33" i="1"/>
  <c r="AD33" i="1" s="1"/>
  <c r="AC32" i="1"/>
  <c r="AD32" i="1" s="1"/>
  <c r="AC31" i="1"/>
  <c r="AD31" i="1" s="1"/>
  <c r="AC30" i="1"/>
  <c r="AD30" i="1" s="1"/>
  <c r="AC29" i="1"/>
  <c r="AD29" i="1" s="1"/>
  <c r="AC28" i="1"/>
  <c r="AD28" i="1" s="1"/>
  <c r="AC27" i="1"/>
  <c r="AD27" i="1" s="1"/>
  <c r="AC26" i="1"/>
  <c r="AD26" i="1" s="1"/>
  <c r="AC25" i="1"/>
  <c r="AD25" i="1" s="1"/>
  <c r="AC24" i="1"/>
  <c r="AD24" i="1" s="1"/>
  <c r="AC23" i="1"/>
  <c r="AD23" i="1" s="1"/>
  <c r="AC22" i="1"/>
  <c r="AD22" i="1" s="1"/>
  <c r="AC21" i="1"/>
  <c r="AD21" i="1" s="1"/>
  <c r="AC20" i="1"/>
  <c r="AD20" i="1" s="1"/>
  <c r="AC19" i="1"/>
  <c r="AD19" i="1" s="1"/>
  <c r="AC18" i="1"/>
  <c r="AD18" i="1" s="1"/>
  <c r="AD15" i="1"/>
  <c r="AC15" i="1"/>
  <c r="AE15" i="1" s="1"/>
  <c r="AC14" i="1"/>
  <c r="AD14" i="1" s="1"/>
  <c r="AE13" i="1"/>
  <c r="AD13" i="1"/>
  <c r="AD12" i="1"/>
  <c r="AC12" i="1"/>
  <c r="AE12" i="1" s="1"/>
  <c r="AC11" i="1"/>
  <c r="AE11" i="1" s="1"/>
  <c r="AE10" i="1"/>
  <c r="AD10" i="1"/>
  <c r="AC10" i="1"/>
  <c r="AW23" i="1"/>
  <c r="AR73" i="1"/>
  <c r="AS73" i="1" s="1"/>
  <c r="AR72" i="1"/>
  <c r="AS72" i="1" s="1"/>
  <c r="AR71" i="1"/>
  <c r="AS71" i="1" s="1"/>
  <c r="AR70" i="1"/>
  <c r="AS70" i="1" s="1"/>
  <c r="AR67" i="1"/>
  <c r="AS67" i="1" s="1"/>
  <c r="AR66" i="1"/>
  <c r="AS66" i="1" s="1"/>
  <c r="AR65" i="1"/>
  <c r="AS65" i="1" s="1"/>
  <c r="AR64" i="1"/>
  <c r="AS64" i="1" s="1"/>
  <c r="AR63" i="1"/>
  <c r="AS63" i="1" s="1"/>
  <c r="AR62" i="1"/>
  <c r="AS62" i="1" s="1"/>
  <c r="AS59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5" i="1"/>
  <c r="AS14" i="1"/>
  <c r="AS13" i="1"/>
  <c r="AS12" i="1"/>
  <c r="AS11" i="1"/>
  <c r="AS10" i="1"/>
  <c r="AR59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5" i="1"/>
  <c r="AR14" i="1"/>
  <c r="AR13" i="1"/>
  <c r="AR12" i="1"/>
  <c r="AR11" i="1"/>
  <c r="AR10" i="1"/>
  <c r="BJ15" i="1"/>
  <c r="BJ14" i="1"/>
  <c r="BJ13" i="1"/>
  <c r="BJ12" i="1"/>
  <c r="BJ11" i="1"/>
  <c r="BJ10" i="1"/>
  <c r="AD71" i="1" l="1"/>
  <c r="AE63" i="1"/>
  <c r="AD53" i="1"/>
  <c r="AE45" i="1"/>
  <c r="AD56" i="1"/>
  <c r="AE43" i="1"/>
  <c r="AD46" i="1"/>
  <c r="AE51" i="1"/>
  <c r="AD54" i="1"/>
  <c r="AD48" i="1"/>
  <c r="AD41" i="1"/>
  <c r="AD49" i="1"/>
  <c r="AD57" i="1"/>
  <c r="AD11" i="1"/>
  <c r="AE14" i="1"/>
  <c r="G93" i="1" l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BH69" i="1"/>
  <c r="AM69" i="1"/>
  <c r="CM69" i="1"/>
  <c r="CJ69" i="1"/>
  <c r="BO69" i="1"/>
  <c r="BN69" i="1"/>
  <c r="BM69" i="1"/>
  <c r="BL69" i="1"/>
  <c r="AW69" i="1"/>
  <c r="AV69" i="1"/>
  <c r="AU69" i="1"/>
  <c r="AT69" i="1"/>
  <c r="AI69" i="1"/>
  <c r="AH69" i="1"/>
  <c r="P69" i="1"/>
  <c r="O69" i="1"/>
  <c r="L69" i="1"/>
  <c r="H61" i="1"/>
  <c r="G61" i="1" s="1"/>
  <c r="U61" i="1"/>
  <c r="BH61" i="1"/>
  <c r="Y61" i="1"/>
  <c r="CM61" i="1"/>
  <c r="CJ61" i="1"/>
  <c r="BO61" i="1"/>
  <c r="BN61" i="1"/>
  <c r="BN59" i="1" s="1"/>
  <c r="BM61" i="1"/>
  <c r="BM59" i="1" s="1"/>
  <c r="BL61" i="1"/>
  <c r="BL59" i="1" s="1"/>
  <c r="AW61" i="1"/>
  <c r="AV61" i="1"/>
  <c r="AU61" i="1"/>
  <c r="AT61" i="1"/>
  <c r="AK61" i="1"/>
  <c r="P61" i="1"/>
  <c r="O61" i="1"/>
  <c r="BO59" i="1"/>
  <c r="BJ59" i="1"/>
  <c r="CM40" i="1"/>
  <c r="CJ40" i="1"/>
  <c r="BO40" i="1"/>
  <c r="BN40" i="1"/>
  <c r="BM40" i="1"/>
  <c r="BL40" i="1"/>
  <c r="BI40" i="1"/>
  <c r="BH40" i="1"/>
  <c r="BG40" i="1"/>
  <c r="BF40" i="1"/>
  <c r="BF39" i="1" s="1"/>
  <c r="BE40" i="1"/>
  <c r="BD40" i="1"/>
  <c r="BC40" i="1"/>
  <c r="BB40" i="1"/>
  <c r="BA40" i="1"/>
  <c r="AZ40" i="1"/>
  <c r="AY40" i="1"/>
  <c r="AW40" i="1"/>
  <c r="AV40" i="1"/>
  <c r="AU40" i="1"/>
  <c r="AT40" i="1"/>
  <c r="AQ40" i="1"/>
  <c r="AP40" i="1"/>
  <c r="AO40" i="1"/>
  <c r="AN40" i="1"/>
  <c r="AN39" i="1" s="1"/>
  <c r="AM40" i="1"/>
  <c r="AL40" i="1"/>
  <c r="AK40" i="1"/>
  <c r="AJ40" i="1"/>
  <c r="AI40" i="1"/>
  <c r="AH40" i="1"/>
  <c r="AG40" i="1"/>
  <c r="AB40" i="1"/>
  <c r="AA40" i="1"/>
  <c r="Z40" i="1"/>
  <c r="Y40" i="1"/>
  <c r="X40" i="1"/>
  <c r="W40" i="1"/>
  <c r="V40" i="1"/>
  <c r="U40" i="1"/>
  <c r="T40" i="1"/>
  <c r="S40" i="1"/>
  <c r="BN17" i="1"/>
  <c r="BM17" i="1"/>
  <c r="BL17" i="1"/>
  <c r="BL16" i="1" s="1"/>
  <c r="AT17" i="1"/>
  <c r="AT16" i="1" s="1"/>
  <c r="CM17" i="1"/>
  <c r="CJ17" i="1"/>
  <c r="AV17" i="1"/>
  <c r="AU17" i="1"/>
  <c r="P17" i="1"/>
  <c r="O17" i="1"/>
  <c r="BE9" i="1"/>
  <c r="CM9" i="1"/>
  <c r="CJ9" i="1"/>
  <c r="BO9" i="1"/>
  <c r="BN9" i="1"/>
  <c r="BM9" i="1"/>
  <c r="BL9" i="1"/>
  <c r="AW9" i="1"/>
  <c r="AV9" i="1"/>
  <c r="AU9" i="1"/>
  <c r="AU7" i="1" s="1"/>
  <c r="AU3" i="1" s="1"/>
  <c r="AT9" i="1"/>
  <c r="AM9" i="1"/>
  <c r="Q9" i="1"/>
  <c r="P9" i="1"/>
  <c r="P7" i="1" s="1"/>
  <c r="O9" i="1"/>
  <c r="G7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J7" i="1" l="1"/>
  <c r="CK69" i="1"/>
  <c r="CO44" i="1"/>
  <c r="BV9" i="1"/>
  <c r="DM9" i="1"/>
  <c r="DT21" i="1"/>
  <c r="DU21" i="1" s="1"/>
  <c r="DW21" i="1" s="1"/>
  <c r="AM61" i="1"/>
  <c r="CB61" i="1"/>
  <c r="BT61" i="1"/>
  <c r="BT17" i="1"/>
  <c r="CH61" i="1"/>
  <c r="BG69" i="1"/>
  <c r="DB71" i="1"/>
  <c r="DC71" i="1" s="1"/>
  <c r="DE71" i="1" s="1"/>
  <c r="BL7" i="1"/>
  <c r="BL3" i="1" s="1"/>
  <c r="J9" i="1"/>
  <c r="DO9" i="1"/>
  <c r="K9" i="1"/>
  <c r="AP17" i="1"/>
  <c r="V61" i="1"/>
  <c r="AB61" i="1"/>
  <c r="BZ64" i="1"/>
  <c r="CA64" i="1" s="1"/>
  <c r="AQ69" i="1"/>
  <c r="BZ91" i="1"/>
  <c r="BZ92" i="1"/>
  <c r="BZ93" i="1"/>
  <c r="AT7" i="1"/>
  <c r="AT3" i="1" s="1"/>
  <c r="BN7" i="1"/>
  <c r="BN3" i="1" s="1"/>
  <c r="DC27" i="1"/>
  <c r="DF27" i="1" s="1"/>
  <c r="DC28" i="1"/>
  <c r="DF28" i="1" s="1"/>
  <c r="DO40" i="1"/>
  <c r="CF40" i="1"/>
  <c r="DT53" i="1"/>
  <c r="DU53" i="1" s="1"/>
  <c r="DW53" i="1" s="1"/>
  <c r="AJ69" i="1"/>
  <c r="BZ32" i="1"/>
  <c r="CA32" i="1" s="1"/>
  <c r="BF61" i="1"/>
  <c r="BF60" i="1" s="1"/>
  <c r="BZ49" i="1"/>
  <c r="CA49" i="1" s="1"/>
  <c r="CO52" i="1"/>
  <c r="S69" i="1"/>
  <c r="AA69" i="1"/>
  <c r="CB69" i="1"/>
  <c r="DT30" i="1"/>
  <c r="DU30" i="1" s="1"/>
  <c r="DW30" i="1" s="1"/>
  <c r="DY61" i="1"/>
  <c r="BG17" i="1"/>
  <c r="DK69" i="1"/>
  <c r="L9" i="1"/>
  <c r="BW17" i="1"/>
  <c r="Y9" i="1"/>
  <c r="BZ14" i="1"/>
  <c r="CA14" i="1" s="1"/>
  <c r="DG17" i="1"/>
  <c r="AL9" i="1"/>
  <c r="BA9" i="1"/>
  <c r="BI9" i="1"/>
  <c r="AG9" i="1"/>
  <c r="DG9" i="1"/>
  <c r="T61" i="1"/>
  <c r="BA61" i="1"/>
  <c r="F61" i="1"/>
  <c r="BI61" i="1"/>
  <c r="AN69" i="1"/>
  <c r="AN68" i="1" s="1"/>
  <c r="AO9" i="1"/>
  <c r="BM7" i="1"/>
  <c r="BM3" i="1" s="1"/>
  <c r="BU9" i="1"/>
  <c r="BZ11" i="1"/>
  <c r="CA11" i="1" s="1"/>
  <c r="K17" i="1"/>
  <c r="CL17" i="1"/>
  <c r="BO17" i="1"/>
  <c r="BO7" i="1" s="1"/>
  <c r="BO3" i="1" s="1"/>
  <c r="BZ26" i="1"/>
  <c r="CA26" i="1" s="1"/>
  <c r="DC38" i="1"/>
  <c r="CO41" i="1"/>
  <c r="CO43" i="1"/>
  <c r="CH40" i="1"/>
  <c r="BZ20" i="1"/>
  <c r="CA20" i="1" s="1"/>
  <c r="DC14" i="1"/>
  <c r="DF14" i="1" s="1"/>
  <c r="AM17" i="1"/>
  <c r="DC24" i="1"/>
  <c r="DF24" i="1" s="1"/>
  <c r="CN65" i="1"/>
  <c r="AN9" i="1"/>
  <c r="AN8" i="1" s="1"/>
  <c r="BH17" i="1"/>
  <c r="S9" i="1"/>
  <c r="BS9" i="1"/>
  <c r="BT9" i="1"/>
  <c r="CH9" i="1"/>
  <c r="CN15" i="1"/>
  <c r="CO25" i="1"/>
  <c r="I9" i="1"/>
  <c r="AV7" i="1"/>
  <c r="AV3" i="1" s="1"/>
  <c r="DB20" i="1"/>
  <c r="DY17" i="1"/>
  <c r="BZ30" i="1"/>
  <c r="CA30" i="1" s="1"/>
  <c r="CG69" i="1"/>
  <c r="P3" i="1"/>
  <c r="CL9" i="1"/>
  <c r="V9" i="1"/>
  <c r="BF9" i="1"/>
  <c r="DY9" i="1"/>
  <c r="DO17" i="1"/>
  <c r="AK9" i="1"/>
  <c r="BX9" i="1"/>
  <c r="CW9" i="1"/>
  <c r="BZ12" i="1"/>
  <c r="CA12" i="1" s="1"/>
  <c r="CV40" i="1"/>
  <c r="CW61" i="1"/>
  <c r="CV9" i="1"/>
  <c r="BB9" i="1"/>
  <c r="BZ21" i="1"/>
  <c r="CA21" i="1" s="1"/>
  <c r="BD9" i="1"/>
  <c r="AQ9" i="1"/>
  <c r="L17" i="1"/>
  <c r="AJ17" i="1"/>
  <c r="DR17" i="1"/>
  <c r="CO26" i="1"/>
  <c r="BZ38" i="1"/>
  <c r="CA38" i="1" s="1"/>
  <c r="CN56" i="1"/>
  <c r="BS61" i="1"/>
  <c r="CU69" i="1"/>
  <c r="CN73" i="1"/>
  <c r="BI69" i="1"/>
  <c r="DB31" i="1"/>
  <c r="BV40" i="1"/>
  <c r="BZ50" i="1"/>
  <c r="CA50" i="1" s="1"/>
  <c r="CO56" i="1"/>
  <c r="DT57" i="1"/>
  <c r="DU57" i="1" s="1"/>
  <c r="DX57" i="1" s="1"/>
  <c r="CK61" i="1"/>
  <c r="BX69" i="1"/>
  <c r="DR69" i="1"/>
  <c r="K69" i="1"/>
  <c r="W69" i="1"/>
  <c r="BZ73" i="1"/>
  <c r="CA73" i="1" s="1"/>
  <c r="BZ34" i="1"/>
  <c r="CA34" i="1" s="1"/>
  <c r="CN37" i="1"/>
  <c r="DC43" i="1"/>
  <c r="DF43" i="1" s="1"/>
  <c r="BZ44" i="1"/>
  <c r="CA44" i="1" s="1"/>
  <c r="DC46" i="1"/>
  <c r="DE46" i="1" s="1"/>
  <c r="DT50" i="1"/>
  <c r="DU50" i="1" s="1"/>
  <c r="DX50" i="1" s="1"/>
  <c r="CO55" i="1"/>
  <c r="DT56" i="1"/>
  <c r="DU56" i="1" s="1"/>
  <c r="DX56" i="1" s="1"/>
  <c r="DM61" i="1"/>
  <c r="DL61" i="1"/>
  <c r="CD69" i="1"/>
  <c r="AQ17" i="1"/>
  <c r="DT22" i="1"/>
  <c r="DU22" i="1" s="1"/>
  <c r="DX22" i="1" s="1"/>
  <c r="CW40" i="1"/>
  <c r="DG40" i="1"/>
  <c r="DR40" i="1"/>
  <c r="DL40" i="1"/>
  <c r="DT45" i="1"/>
  <c r="DU45" i="1" s="1"/>
  <c r="DX45" i="1" s="1"/>
  <c r="DT55" i="1"/>
  <c r="DU55" i="1" s="1"/>
  <c r="DW55" i="1" s="1"/>
  <c r="AI61" i="1"/>
  <c r="AZ61" i="1"/>
  <c r="AL69" i="1"/>
  <c r="CZ69" i="1"/>
  <c r="CY69" i="1"/>
  <c r="BY69" i="1"/>
  <c r="AP69" i="1"/>
  <c r="BZ80" i="1"/>
  <c r="BZ81" i="1"/>
  <c r="Y17" i="1"/>
  <c r="AK17" i="1"/>
  <c r="BZ23" i="1"/>
  <c r="CA23" i="1" s="1"/>
  <c r="CB17" i="1"/>
  <c r="CI40" i="1"/>
  <c r="DC59" i="1"/>
  <c r="DF59" i="1" s="1"/>
  <c r="K61" i="1"/>
  <c r="K7" i="1" s="1"/>
  <c r="AL61" i="1"/>
  <c r="BB61" i="1"/>
  <c r="CG61" i="1"/>
  <c r="AP61" i="1"/>
  <c r="CO66" i="1"/>
  <c r="H69" i="1"/>
  <c r="G69" i="1" s="1"/>
  <c r="AB69" i="1"/>
  <c r="CH69" i="1"/>
  <c r="X69" i="1"/>
  <c r="BZ79" i="1"/>
  <c r="BZ87" i="1"/>
  <c r="O7" i="1"/>
  <c r="CK17" i="1"/>
  <c r="BZ24" i="1"/>
  <c r="CA24" i="1" s="1"/>
  <c r="V17" i="1"/>
  <c r="V7" i="1" s="1"/>
  <c r="DT33" i="1"/>
  <c r="DU33" i="1" s="1"/>
  <c r="DW33" i="1" s="1"/>
  <c r="CE40" i="1"/>
  <c r="BW40" i="1"/>
  <c r="CG40" i="1"/>
  <c r="BZ43" i="1"/>
  <c r="CA43" i="1" s="1"/>
  <c r="BZ46" i="1"/>
  <c r="CA46" i="1" s="1"/>
  <c r="DC49" i="1"/>
  <c r="DC51" i="1"/>
  <c r="DF51" i="1" s="1"/>
  <c r="DT52" i="1"/>
  <c r="DU52" i="1" s="1"/>
  <c r="DC53" i="1"/>
  <c r="DF53" i="1" s="1"/>
  <c r="BW61" i="1"/>
  <c r="CT61" i="1"/>
  <c r="AQ61" i="1"/>
  <c r="I69" i="1"/>
  <c r="BT69" i="1"/>
  <c r="CL69" i="1"/>
  <c r="Y69" i="1"/>
  <c r="N17" i="1"/>
  <c r="DB25" i="1"/>
  <c r="DT25" i="1"/>
  <c r="DU25" i="1" s="1"/>
  <c r="DW25" i="1" s="1"/>
  <c r="DT41" i="1"/>
  <c r="DU41" i="1" s="1"/>
  <c r="DX41" i="1" s="1"/>
  <c r="BZ45" i="1"/>
  <c r="CA45" i="1" s="1"/>
  <c r="CO48" i="1"/>
  <c r="CO54" i="1"/>
  <c r="DB57" i="1"/>
  <c r="DC57" i="1"/>
  <c r="DF57" i="1" s="1"/>
  <c r="L61" i="1"/>
  <c r="DG61" i="1"/>
  <c r="V69" i="1"/>
  <c r="AY69" i="1"/>
  <c r="BU69" i="1"/>
  <c r="BW69" i="1"/>
  <c r="BF8" i="1"/>
  <c r="E17" i="1"/>
  <c r="BR9" i="1"/>
  <c r="F9" i="1"/>
  <c r="N9" i="1"/>
  <c r="CK9" i="1"/>
  <c r="DN9" i="1"/>
  <c r="BC9" i="1"/>
  <c r="BZ13" i="1"/>
  <c r="CA13" i="1" s="1"/>
  <c r="BX17" i="1"/>
  <c r="CG9" i="1"/>
  <c r="CU9" i="1"/>
  <c r="AJ9" i="1"/>
  <c r="T9" i="1"/>
  <c r="CN11" i="1"/>
  <c r="DQ17" i="1"/>
  <c r="BF17" i="1"/>
  <c r="BF16" i="1" s="1"/>
  <c r="DC19" i="1"/>
  <c r="DT12" i="1"/>
  <c r="DU12" i="1" s="1"/>
  <c r="CW17" i="1"/>
  <c r="CF17" i="1"/>
  <c r="CN20" i="1"/>
  <c r="H9" i="1"/>
  <c r="G9" i="1" s="1"/>
  <c r="CT9" i="1"/>
  <c r="AI9" i="1"/>
  <c r="DQ9" i="1"/>
  <c r="DT15" i="1"/>
  <c r="DU15" i="1" s="1"/>
  <c r="M17" i="1"/>
  <c r="BY17" i="1"/>
  <c r="Z9" i="1"/>
  <c r="CY9" i="1"/>
  <c r="CB9" i="1"/>
  <c r="BZ19" i="1"/>
  <c r="CA19" i="1" s="1"/>
  <c r="DX33" i="1"/>
  <c r="CD9" i="1"/>
  <c r="DX30" i="1"/>
  <c r="AA9" i="1"/>
  <c r="E9" i="1"/>
  <c r="M9" i="1"/>
  <c r="BY9" i="1"/>
  <c r="AZ9" i="1"/>
  <c r="BH9" i="1"/>
  <c r="BH7" i="1" s="1"/>
  <c r="BH3" i="1" s="1"/>
  <c r="CZ9" i="1"/>
  <c r="AY9" i="1"/>
  <c r="BG9" i="1"/>
  <c r="DR9" i="1"/>
  <c r="CO22" i="1"/>
  <c r="BR17" i="1"/>
  <c r="BZ31" i="1"/>
  <c r="CA31" i="1" s="1"/>
  <c r="X9" i="1"/>
  <c r="CI9" i="1"/>
  <c r="AH9" i="1"/>
  <c r="AP9" i="1"/>
  <c r="CF9" i="1"/>
  <c r="DL9" i="1"/>
  <c r="CO13" i="1"/>
  <c r="CN13" i="1"/>
  <c r="G17" i="1"/>
  <c r="X17" i="1"/>
  <c r="AO17" i="1"/>
  <c r="BD17" i="1"/>
  <c r="BS17" i="1"/>
  <c r="CI17" i="1"/>
  <c r="BE17" i="1"/>
  <c r="DC21" i="1"/>
  <c r="DB21" i="1"/>
  <c r="DC26" i="1"/>
  <c r="DB26" i="1"/>
  <c r="CN26" i="1"/>
  <c r="CG17" i="1"/>
  <c r="DT34" i="1"/>
  <c r="DU34" i="1" s="1"/>
  <c r="DB14" i="1"/>
  <c r="AI17" i="1"/>
  <c r="CT17" i="1"/>
  <c r="DC23" i="1"/>
  <c r="BZ27" i="1"/>
  <c r="CA27" i="1" s="1"/>
  <c r="CO31" i="1"/>
  <c r="CN31" i="1"/>
  <c r="DE38" i="1"/>
  <c r="DF38" i="1"/>
  <c r="BZ22" i="1"/>
  <c r="CA22" i="1" s="1"/>
  <c r="BZ28" i="1"/>
  <c r="CA28" i="1" s="1"/>
  <c r="Z17" i="1"/>
  <c r="DT35" i="1"/>
  <c r="DU35" i="1" s="1"/>
  <c r="AA17" i="1"/>
  <c r="BI17" i="1"/>
  <c r="DL17" i="1"/>
  <c r="DC20" i="1"/>
  <c r="DB23" i="1"/>
  <c r="U9" i="1"/>
  <c r="DT14" i="1"/>
  <c r="DU14" i="1" s="1"/>
  <c r="BZ15" i="1"/>
  <c r="CA15" i="1" s="1"/>
  <c r="AH17" i="1"/>
  <c r="H17" i="1"/>
  <c r="T17" i="1"/>
  <c r="AB17" i="1"/>
  <c r="AN17" i="1"/>
  <c r="BB17" i="1"/>
  <c r="DM17" i="1"/>
  <c r="CO20" i="1"/>
  <c r="CN25" i="1"/>
  <c r="DB27" i="1"/>
  <c r="DC31" i="1"/>
  <c r="DC33" i="1"/>
  <c r="DB33" i="1"/>
  <c r="DB34" i="1"/>
  <c r="DT36" i="1"/>
  <c r="DU36" i="1" s="1"/>
  <c r="DT24" i="1"/>
  <c r="DU24" i="1" s="1"/>
  <c r="BZ35" i="1"/>
  <c r="CA35" i="1" s="1"/>
  <c r="AG17" i="1"/>
  <c r="S17" i="1"/>
  <c r="BA17" i="1"/>
  <c r="AZ17" i="1"/>
  <c r="DK17" i="1"/>
  <c r="U17" i="1"/>
  <c r="AL17" i="1"/>
  <c r="AY17" i="1"/>
  <c r="I17" i="1"/>
  <c r="BU17" i="1"/>
  <c r="CV17" i="1"/>
  <c r="CY17" i="1"/>
  <c r="CN22" i="1"/>
  <c r="DT23" i="1"/>
  <c r="DU23" i="1" s="1"/>
  <c r="DT26" i="1"/>
  <c r="DU26" i="1" s="1"/>
  <c r="CO35" i="1"/>
  <c r="BR40" i="1"/>
  <c r="DX52" i="1"/>
  <c r="DW52" i="1"/>
  <c r="BZ59" i="1"/>
  <c r="CA59" i="1" s="1"/>
  <c r="DC30" i="1"/>
  <c r="DB30" i="1"/>
  <c r="DN17" i="1"/>
  <c r="W9" i="1"/>
  <c r="F17" i="1"/>
  <c r="BC17" i="1"/>
  <c r="J17" i="1"/>
  <c r="CZ17" i="1"/>
  <c r="CH17" i="1"/>
  <c r="W17" i="1"/>
  <c r="DB24" i="1"/>
  <c r="DC25" i="1"/>
  <c r="DT29" i="1"/>
  <c r="DU29" i="1" s="1"/>
  <c r="DT31" i="1"/>
  <c r="DU31" i="1" s="1"/>
  <c r="BZ36" i="1"/>
  <c r="CA36" i="1" s="1"/>
  <c r="DB28" i="1"/>
  <c r="CO33" i="1"/>
  <c r="CO36" i="1"/>
  <c r="BX40" i="1"/>
  <c r="BS40" i="1"/>
  <c r="DK40" i="1"/>
  <c r="J61" i="1"/>
  <c r="BV61" i="1"/>
  <c r="CS61" i="1"/>
  <c r="AH61" i="1"/>
  <c r="BZ41" i="1"/>
  <c r="BY40" i="1"/>
  <c r="BZ42" i="1"/>
  <c r="CA42" i="1" s="1"/>
  <c r="CN44" i="1"/>
  <c r="DC47" i="1"/>
  <c r="DB47" i="1"/>
  <c r="BZ54" i="1"/>
  <c r="CA54" i="1" s="1"/>
  <c r="DC55" i="1"/>
  <c r="BZ37" i="1"/>
  <c r="CA37" i="1" s="1"/>
  <c r="DT37" i="1"/>
  <c r="DU37" i="1" s="1"/>
  <c r="CK40" i="1"/>
  <c r="DM40" i="1"/>
  <c r="CZ40" i="1"/>
  <c r="DB48" i="1"/>
  <c r="DF49" i="1"/>
  <c r="DE49" i="1"/>
  <c r="DT49" i="1"/>
  <c r="DU49" i="1" s="1"/>
  <c r="AW17" i="1"/>
  <c r="AW7" i="1" s="1"/>
  <c r="AW3" i="1" s="1"/>
  <c r="CO27" i="1"/>
  <c r="CN27" i="1"/>
  <c r="DT27" i="1"/>
  <c r="DU27" i="1" s="1"/>
  <c r="BQ40" i="1"/>
  <c r="CB40" i="1"/>
  <c r="CL40" i="1"/>
  <c r="DN40" i="1"/>
  <c r="CN43" i="1"/>
  <c r="CO45" i="1"/>
  <c r="DC45" i="1"/>
  <c r="DT47" i="1"/>
  <c r="DU47" i="1" s="1"/>
  <c r="BV17" i="1"/>
  <c r="DT28" i="1"/>
  <c r="DU28" i="1" s="1"/>
  <c r="BZ29" i="1"/>
  <c r="CA29" i="1" s="1"/>
  <c r="CN36" i="1"/>
  <c r="CO37" i="1"/>
  <c r="AR40" i="1"/>
  <c r="CO42" i="1"/>
  <c r="CR40" i="1"/>
  <c r="DC42" i="1"/>
  <c r="DB42" i="1"/>
  <c r="DJ40" i="1"/>
  <c r="DT44" i="1"/>
  <c r="DU44" i="1" s="1"/>
  <c r="DT48" i="1"/>
  <c r="DU48" i="1" s="1"/>
  <c r="DT51" i="1"/>
  <c r="DU51" i="1" s="1"/>
  <c r="BZ25" i="1"/>
  <c r="CA25" i="1" s="1"/>
  <c r="DT32" i="1"/>
  <c r="DU32" i="1" s="1"/>
  <c r="BZ33" i="1"/>
  <c r="CA33" i="1" s="1"/>
  <c r="CN33" i="1"/>
  <c r="DC35" i="1"/>
  <c r="AS40" i="1"/>
  <c r="DC41" i="1"/>
  <c r="BJ40" i="1"/>
  <c r="BK40" i="1"/>
  <c r="DT43" i="1"/>
  <c r="DU43" i="1" s="1"/>
  <c r="CD40" i="1"/>
  <c r="CN41" i="1"/>
  <c r="CY40" i="1"/>
  <c r="CS40" i="1"/>
  <c r="DC44" i="1"/>
  <c r="DB44" i="1"/>
  <c r="DT46" i="1"/>
  <c r="DU46" i="1" s="1"/>
  <c r="CO47" i="1"/>
  <c r="CN47" i="1"/>
  <c r="BZ48" i="1"/>
  <c r="CA48" i="1" s="1"/>
  <c r="DB49" i="1"/>
  <c r="BZ55" i="1"/>
  <c r="CA55" i="1" s="1"/>
  <c r="DE59" i="1"/>
  <c r="DB65" i="1"/>
  <c r="DC65" i="1" s="1"/>
  <c r="BQ69" i="1"/>
  <c r="BZ71" i="1"/>
  <c r="CA71" i="1" s="1"/>
  <c r="CO50" i="1"/>
  <c r="DB51" i="1"/>
  <c r="CN55" i="1"/>
  <c r="BZ57" i="1"/>
  <c r="CA57" i="1" s="1"/>
  <c r="E61" i="1"/>
  <c r="BY61" i="1"/>
  <c r="M61" i="1"/>
  <c r="CU61" i="1"/>
  <c r="AJ61" i="1"/>
  <c r="AY61" i="1"/>
  <c r="BG61" i="1"/>
  <c r="DR61" i="1"/>
  <c r="DO69" i="1"/>
  <c r="BD69" i="1"/>
  <c r="DB38" i="1"/>
  <c r="DT38" i="1"/>
  <c r="DU38" i="1" s="1"/>
  <c r="BU40" i="1"/>
  <c r="DQ40" i="1"/>
  <c r="DT42" i="1"/>
  <c r="DU42" i="1" s="1"/>
  <c r="BZ47" i="1"/>
  <c r="CA47" i="1" s="1"/>
  <c r="BZ51" i="1"/>
  <c r="CA51" i="1" s="1"/>
  <c r="DC52" i="1"/>
  <c r="BK59" i="1"/>
  <c r="BR61" i="1"/>
  <c r="AC40" i="1"/>
  <c r="CT40" i="1"/>
  <c r="DY40" i="1"/>
  <c r="DB43" i="1"/>
  <c r="CN45" i="1"/>
  <c r="CO46" i="1"/>
  <c r="CN46" i="1"/>
  <c r="CO59" i="1"/>
  <c r="CO63" i="1"/>
  <c r="CN63" i="1"/>
  <c r="DN61" i="1"/>
  <c r="BC61" i="1"/>
  <c r="DT67" i="1"/>
  <c r="DU67" i="1" s="1"/>
  <c r="BT40" i="1"/>
  <c r="CU40" i="1"/>
  <c r="DC50" i="1"/>
  <c r="BZ52" i="1"/>
  <c r="CA52" i="1" s="1"/>
  <c r="DC54" i="1"/>
  <c r="DT59" i="1"/>
  <c r="DU59" i="1" s="1"/>
  <c r="AG61" i="1"/>
  <c r="AO61" i="1"/>
  <c r="CZ61" i="1"/>
  <c r="DO61" i="1"/>
  <c r="BD61" i="1"/>
  <c r="DC48" i="1"/>
  <c r="DB54" i="1"/>
  <c r="CO57" i="1"/>
  <c r="CN57" i="1"/>
  <c r="X61" i="1"/>
  <c r="CI61" i="1"/>
  <c r="BX61" i="1"/>
  <c r="CV61" i="1"/>
  <c r="BZ67" i="1"/>
  <c r="CA67" i="1" s="1"/>
  <c r="BU61" i="1"/>
  <c r="I61" i="1"/>
  <c r="BF69" i="1"/>
  <c r="BF68" i="1" s="1"/>
  <c r="N61" i="1"/>
  <c r="CY61" i="1"/>
  <c r="DT64" i="1"/>
  <c r="DU64" i="1" s="1"/>
  <c r="DT66" i="1"/>
  <c r="DU66" i="1" s="1"/>
  <c r="CN67" i="1"/>
  <c r="CN42" i="1"/>
  <c r="DB46" i="1"/>
  <c r="DB50" i="1"/>
  <c r="CO53" i="1"/>
  <c r="CN53" i="1"/>
  <c r="BZ56" i="1"/>
  <c r="CA56" i="1" s="1"/>
  <c r="DB59" i="1"/>
  <c r="Z61" i="1"/>
  <c r="BZ65" i="1"/>
  <c r="CA65" i="1" s="1"/>
  <c r="DK61" i="1"/>
  <c r="BZ83" i="1"/>
  <c r="DB41" i="1"/>
  <c r="DB45" i="1"/>
  <c r="CN48" i="1"/>
  <c r="CN52" i="1"/>
  <c r="BZ53" i="1"/>
  <c r="CA53" i="1" s="1"/>
  <c r="DB53" i="1"/>
  <c r="DT54" i="1"/>
  <c r="DU54" i="1" s="1"/>
  <c r="DB55" i="1"/>
  <c r="DC56" i="1"/>
  <c r="CE61" i="1"/>
  <c r="CF61" i="1"/>
  <c r="S61" i="1"/>
  <c r="CL61" i="1"/>
  <c r="AA61" i="1"/>
  <c r="N69" i="1"/>
  <c r="Z69" i="1"/>
  <c r="CO49" i="1"/>
  <c r="CN49" i="1"/>
  <c r="CO51" i="1"/>
  <c r="CN51" i="1"/>
  <c r="AN61" i="1"/>
  <c r="AN60" i="1" s="1"/>
  <c r="BE61" i="1"/>
  <c r="CO67" i="1"/>
  <c r="DB67" i="1"/>
  <c r="DC67" i="1" s="1"/>
  <c r="AG69" i="1"/>
  <c r="CT69" i="1"/>
  <c r="DG69" i="1"/>
  <c r="BJ71" i="1"/>
  <c r="BK71" i="1" s="1"/>
  <c r="BZ82" i="1"/>
  <c r="BR69" i="1"/>
  <c r="CO71" i="1"/>
  <c r="CN71" i="1"/>
  <c r="AK69" i="1"/>
  <c r="BJ70" i="1"/>
  <c r="CS69" i="1"/>
  <c r="BZ84" i="1"/>
  <c r="BZ85" i="1"/>
  <c r="T69" i="1"/>
  <c r="DQ69" i="1"/>
  <c r="DB72" i="1"/>
  <c r="DC72" i="1" s="1"/>
  <c r="BB69" i="1"/>
  <c r="DT72" i="1"/>
  <c r="DU72" i="1" s="1"/>
  <c r="BJ72" i="1"/>
  <c r="BK72" i="1" s="1"/>
  <c r="CO73" i="1"/>
  <c r="BZ86" i="1"/>
  <c r="DB52" i="1"/>
  <c r="DB56" i="1"/>
  <c r="W61" i="1"/>
  <c r="DQ61" i="1"/>
  <c r="DB64" i="1"/>
  <c r="DC64" i="1" s="1"/>
  <c r="CO65" i="1"/>
  <c r="DB66" i="1"/>
  <c r="DC66" i="1" s="1"/>
  <c r="F69" i="1"/>
  <c r="AO69" i="1"/>
  <c r="AZ69" i="1"/>
  <c r="U69" i="1"/>
  <c r="CF69" i="1"/>
  <c r="CV69" i="1"/>
  <c r="BC69" i="1"/>
  <c r="DN69" i="1"/>
  <c r="BZ76" i="1"/>
  <c r="BZ77" i="1"/>
  <c r="CN50" i="1"/>
  <c r="CN54" i="1"/>
  <c r="CN59" i="1"/>
  <c r="CN66" i="1"/>
  <c r="J69" i="1"/>
  <c r="BV69" i="1"/>
  <c r="CW69" i="1"/>
  <c r="BA69" i="1"/>
  <c r="DL69" i="1"/>
  <c r="BJ73" i="1"/>
  <c r="BK73" i="1" s="1"/>
  <c r="BZ78" i="1"/>
  <c r="BZ88" i="1"/>
  <c r="BZ89" i="1"/>
  <c r="CR69" i="1"/>
  <c r="BS69" i="1"/>
  <c r="CI69" i="1"/>
  <c r="DY69" i="1"/>
  <c r="BE69" i="1"/>
  <c r="E69" i="1"/>
  <c r="M69" i="1"/>
  <c r="BZ90" i="1"/>
  <c r="DW57" i="1" l="1"/>
  <c r="DW22" i="1"/>
  <c r="DX21" i="1"/>
  <c r="DE53" i="1"/>
  <c r="DE57" i="1"/>
  <c r="DE28" i="1"/>
  <c r="DX53" i="1"/>
  <c r="DW56" i="1"/>
  <c r="DW41" i="1"/>
  <c r="DX25" i="1"/>
  <c r="BI7" i="1"/>
  <c r="BI3" i="1" s="1"/>
  <c r="DF71" i="1"/>
  <c r="AM7" i="1"/>
  <c r="DB63" i="1"/>
  <c r="DC63" i="1" s="1"/>
  <c r="DF46" i="1"/>
  <c r="DE27" i="1"/>
  <c r="AK7" i="1"/>
  <c r="AG7" i="1"/>
  <c r="AB7" i="1"/>
  <c r="AB3" i="1" s="1"/>
  <c r="CN72" i="1"/>
  <c r="Y7" i="1"/>
  <c r="BR7" i="1"/>
  <c r="CO72" i="1"/>
  <c r="DU40" i="1"/>
  <c r="DC34" i="1"/>
  <c r="DF34" i="1" s="1"/>
  <c r="DE43" i="1"/>
  <c r="CW7" i="1"/>
  <c r="DE51" i="1"/>
  <c r="BB7" i="1"/>
  <c r="DO7" i="1"/>
  <c r="L7" i="1"/>
  <c r="DG7" i="1"/>
  <c r="DT19" i="1"/>
  <c r="DU19" i="1" s="1"/>
  <c r="DW19" i="1" s="1"/>
  <c r="S7" i="1"/>
  <c r="BT7" i="1"/>
  <c r="AL7" i="1"/>
  <c r="DT13" i="1"/>
  <c r="DU13" i="1" s="1"/>
  <c r="DW13" i="1" s="1"/>
  <c r="DW45" i="1"/>
  <c r="DB73" i="1"/>
  <c r="DC73" i="1" s="1"/>
  <c r="DE73" i="1" s="1"/>
  <c r="BZ66" i="1"/>
  <c r="CA66" i="1" s="1"/>
  <c r="DW50" i="1"/>
  <c r="AA7" i="1"/>
  <c r="BU7" i="1"/>
  <c r="CH7" i="1"/>
  <c r="BA7" i="1"/>
  <c r="U7" i="1"/>
  <c r="DT40" i="1"/>
  <c r="BE7" i="1"/>
  <c r="DE24" i="1"/>
  <c r="BZ72" i="1"/>
  <c r="CA72" i="1" s="1"/>
  <c r="DY7" i="1"/>
  <c r="CO15" i="1"/>
  <c r="AP7" i="1"/>
  <c r="AP3" i="1" s="1"/>
  <c r="DC12" i="1"/>
  <c r="DF12" i="1" s="1"/>
  <c r="F7" i="1"/>
  <c r="DX55" i="1"/>
  <c r="CL7" i="1"/>
  <c r="CR17" i="1"/>
  <c r="BS7" i="1"/>
  <c r="DT11" i="1"/>
  <c r="DU11" i="1" s="1"/>
  <c r="DW11" i="1" s="1"/>
  <c r="AQ7" i="1"/>
  <c r="AQ3" i="1" s="1"/>
  <c r="DT73" i="1"/>
  <c r="DU73" i="1" s="1"/>
  <c r="DX73" i="1" s="1"/>
  <c r="BD7" i="1"/>
  <c r="M7" i="1"/>
  <c r="DE14" i="1"/>
  <c r="BW9" i="1"/>
  <c r="BW7" i="1" s="1"/>
  <c r="AO7" i="1"/>
  <c r="DT63" i="1"/>
  <c r="DU63" i="1" s="1"/>
  <c r="DX63" i="1" s="1"/>
  <c r="CO40" i="1"/>
  <c r="BV7" i="1"/>
  <c r="I7" i="1"/>
  <c r="DJ9" i="1"/>
  <c r="E7" i="1"/>
  <c r="CN10" i="1"/>
  <c r="AC9" i="1"/>
  <c r="DX72" i="1"/>
  <c r="DW72" i="1"/>
  <c r="DE35" i="1"/>
  <c r="DF35" i="1"/>
  <c r="DX38" i="1"/>
  <c r="DW38" i="1"/>
  <c r="DF30" i="1"/>
  <c r="DE30" i="1"/>
  <c r="DX59" i="1"/>
  <c r="DW59" i="1"/>
  <c r="DX51" i="1"/>
  <c r="DW51" i="1"/>
  <c r="DE63" i="1"/>
  <c r="DF63" i="1"/>
  <c r="BK61" i="1"/>
  <c r="BJ61" i="1"/>
  <c r="DX26" i="1"/>
  <c r="DW26" i="1"/>
  <c r="DM69" i="1"/>
  <c r="DM7" i="1" s="1"/>
  <c r="AC69" i="1"/>
  <c r="AD69" i="1"/>
  <c r="DT71" i="1"/>
  <c r="DU71" i="1" s="1"/>
  <c r="DT70" i="1"/>
  <c r="DJ61" i="1"/>
  <c r="DF55" i="1"/>
  <c r="DE55" i="1"/>
  <c r="DB18" i="1"/>
  <c r="CO23" i="1"/>
  <c r="CN23" i="1"/>
  <c r="CN19" i="1"/>
  <c r="CO19" i="1"/>
  <c r="DT20" i="1"/>
  <c r="DU20" i="1" s="1"/>
  <c r="DL7" i="1"/>
  <c r="DX11" i="1"/>
  <c r="BY7" i="1"/>
  <c r="CY7" i="1"/>
  <c r="CU17" i="1"/>
  <c r="CU7" i="1" s="1"/>
  <c r="N7" i="1"/>
  <c r="DN7" i="1"/>
  <c r="DW35" i="1"/>
  <c r="DX35" i="1"/>
  <c r="DC29" i="1"/>
  <c r="DB29" i="1"/>
  <c r="CO38" i="1"/>
  <c r="CN38" i="1"/>
  <c r="DF26" i="1"/>
  <c r="DE26" i="1"/>
  <c r="DC18" i="1"/>
  <c r="BZ10" i="1"/>
  <c r="BQ9" i="1"/>
  <c r="AI7" i="1"/>
  <c r="CE9" i="1"/>
  <c r="CO11" i="1"/>
  <c r="AJ7" i="1"/>
  <c r="BQ17" i="1"/>
  <c r="BZ18" i="1"/>
  <c r="Z7" i="1"/>
  <c r="Z3" i="1" s="1"/>
  <c r="CT7" i="1"/>
  <c r="T7" i="1"/>
  <c r="BC7" i="1"/>
  <c r="DE64" i="1"/>
  <c r="DF64" i="1"/>
  <c r="CO64" i="1"/>
  <c r="CN64" i="1"/>
  <c r="DB62" i="1"/>
  <c r="CR61" i="1"/>
  <c r="BZ62" i="1"/>
  <c r="BQ61" i="1"/>
  <c r="BX7" i="1"/>
  <c r="DC10" i="1"/>
  <c r="CS9" i="1"/>
  <c r="DB10" i="1"/>
  <c r="DF33" i="1"/>
  <c r="DE33" i="1"/>
  <c r="DR7" i="1"/>
  <c r="DT65" i="1"/>
  <c r="DU65" i="1" s="1"/>
  <c r="AD61" i="1"/>
  <c r="AC61" i="1"/>
  <c r="DF25" i="1"/>
  <c r="DE25" i="1"/>
  <c r="DW46" i="1"/>
  <c r="DX46" i="1"/>
  <c r="DC22" i="1"/>
  <c r="DB22" i="1"/>
  <c r="AH7" i="1"/>
  <c r="DF72" i="1"/>
  <c r="DE72" i="1"/>
  <c r="DE56" i="1"/>
  <c r="DF56" i="1"/>
  <c r="DT62" i="1"/>
  <c r="DF50" i="1"/>
  <c r="DE50" i="1"/>
  <c r="CP40" i="1"/>
  <c r="AE40" i="1"/>
  <c r="CN35" i="1"/>
  <c r="DC40" i="1"/>
  <c r="DF41" i="1"/>
  <c r="DE41" i="1"/>
  <c r="CN28" i="1"/>
  <c r="CO28" i="1"/>
  <c r="DW47" i="1"/>
  <c r="DX47" i="1"/>
  <c r="DC36" i="1"/>
  <c r="DB36" i="1"/>
  <c r="DX37" i="1"/>
  <c r="DW37" i="1"/>
  <c r="DW31" i="1"/>
  <c r="DX31" i="1"/>
  <c r="CV7" i="1"/>
  <c r="CN14" i="1"/>
  <c r="CO14" i="1"/>
  <c r="CS17" i="1"/>
  <c r="DE31" i="1"/>
  <c r="DF31" i="1"/>
  <c r="DF20" i="1"/>
  <c r="DE20" i="1"/>
  <c r="CN32" i="1"/>
  <c r="CO32" i="1"/>
  <c r="CO34" i="1"/>
  <c r="CN34" i="1"/>
  <c r="CI7" i="1"/>
  <c r="BK9" i="1"/>
  <c r="BJ9" i="1"/>
  <c r="DX12" i="1"/>
  <c r="DW12" i="1"/>
  <c r="CO10" i="1"/>
  <c r="CN40" i="1"/>
  <c r="DX24" i="1"/>
  <c r="DW24" i="1"/>
  <c r="DE48" i="1"/>
  <c r="DF48" i="1"/>
  <c r="DE52" i="1"/>
  <c r="DF52" i="1"/>
  <c r="DX29" i="1"/>
  <c r="DW29" i="1"/>
  <c r="DT18" i="1"/>
  <c r="DJ17" i="1"/>
  <c r="CF7" i="1"/>
  <c r="DQ7" i="1"/>
  <c r="AR69" i="1"/>
  <c r="AS69" i="1"/>
  <c r="DX32" i="1"/>
  <c r="DW32" i="1"/>
  <c r="J7" i="1"/>
  <c r="BJ17" i="1"/>
  <c r="BK17" i="1"/>
  <c r="CO62" i="1"/>
  <c r="CD61" i="1"/>
  <c r="CN62" i="1"/>
  <c r="DF65" i="1"/>
  <c r="DE65" i="1"/>
  <c r="DX44" i="1"/>
  <c r="DW44" i="1"/>
  <c r="DW27" i="1"/>
  <c r="DX27" i="1"/>
  <c r="DB19" i="1"/>
  <c r="DB70" i="1"/>
  <c r="DE67" i="1"/>
  <c r="DF67" i="1"/>
  <c r="DB40" i="1"/>
  <c r="DW42" i="1"/>
  <c r="DX42" i="1"/>
  <c r="DF44" i="1"/>
  <c r="DE44" i="1"/>
  <c r="DB35" i="1"/>
  <c r="DF45" i="1"/>
  <c r="DE45" i="1"/>
  <c r="CO21" i="1"/>
  <c r="CN21" i="1"/>
  <c r="DC15" i="1"/>
  <c r="DB15" i="1"/>
  <c r="DC37" i="1"/>
  <c r="DB37" i="1"/>
  <c r="DW23" i="1"/>
  <c r="DX23" i="1"/>
  <c r="AC17" i="1"/>
  <c r="DB12" i="1"/>
  <c r="DX36" i="1"/>
  <c r="DW36" i="1"/>
  <c r="CN29" i="1"/>
  <c r="AN16" i="1"/>
  <c r="AN7" i="1"/>
  <c r="AN3" i="1" s="1"/>
  <c r="AR17" i="1"/>
  <c r="AS17" i="1"/>
  <c r="X7" i="1"/>
  <c r="BG7" i="1"/>
  <c r="DK9" i="1"/>
  <c r="DK7" i="1" s="1"/>
  <c r="DT10" i="1"/>
  <c r="DF19" i="1"/>
  <c r="DE19" i="1"/>
  <c r="CG7" i="1"/>
  <c r="DX67" i="1"/>
  <c r="DW67" i="1"/>
  <c r="CO18" i="1"/>
  <c r="CN18" i="1"/>
  <c r="CD17" i="1"/>
  <c r="CE17" i="1"/>
  <c r="AY7" i="1"/>
  <c r="DX15" i="1"/>
  <c r="DW15" i="1"/>
  <c r="DX43" i="1"/>
  <c r="DW43" i="1"/>
  <c r="DX28" i="1"/>
  <c r="DW28" i="1"/>
  <c r="CZ7" i="1"/>
  <c r="DX66" i="1"/>
  <c r="DW66" i="1"/>
  <c r="DF54" i="1"/>
  <c r="DE54" i="1"/>
  <c r="DX48" i="1"/>
  <c r="DW48" i="1"/>
  <c r="DF47" i="1"/>
  <c r="DE47" i="1"/>
  <c r="AS9" i="1"/>
  <c r="AR9" i="1"/>
  <c r="DX64" i="1"/>
  <c r="DW64" i="1"/>
  <c r="DX49" i="1"/>
  <c r="DW49" i="1"/>
  <c r="W7" i="1"/>
  <c r="DB32" i="1"/>
  <c r="DC32" i="1"/>
  <c r="DX34" i="1"/>
  <c r="DW34" i="1"/>
  <c r="AZ7" i="1"/>
  <c r="DF66" i="1"/>
  <c r="DE66" i="1"/>
  <c r="BZ70" i="1"/>
  <c r="CO70" i="1"/>
  <c r="CE69" i="1"/>
  <c r="CN70" i="1"/>
  <c r="CN69" i="1" s="1"/>
  <c r="BK70" i="1"/>
  <c r="BK69" i="1" s="1"/>
  <c r="BJ69" i="1"/>
  <c r="DX54" i="1"/>
  <c r="DW54" i="1"/>
  <c r="DJ69" i="1"/>
  <c r="AS61" i="1"/>
  <c r="AR61" i="1"/>
  <c r="AD40" i="1"/>
  <c r="BZ63" i="1"/>
  <c r="CA63" i="1" s="1"/>
  <c r="DE42" i="1"/>
  <c r="DF42" i="1"/>
  <c r="BZ40" i="1"/>
  <c r="CA41" i="1"/>
  <c r="CA40" i="1" s="1"/>
  <c r="CN24" i="1"/>
  <c r="CO24" i="1"/>
  <c r="CN30" i="1"/>
  <c r="CO30" i="1"/>
  <c r="DC13" i="1"/>
  <c r="DB13" i="1"/>
  <c r="DC11" i="1"/>
  <c r="DB11" i="1"/>
  <c r="CR9" i="1"/>
  <c r="CO29" i="1"/>
  <c r="DX14" i="1"/>
  <c r="DW14" i="1"/>
  <c r="DF23" i="1"/>
  <c r="DE23" i="1"/>
  <c r="DF21" i="1"/>
  <c r="DE21" i="1"/>
  <c r="CO12" i="1"/>
  <c r="CN12" i="1"/>
  <c r="CB7" i="1"/>
  <c r="AD9" i="1"/>
  <c r="CK7" i="1"/>
  <c r="BF7" i="1"/>
  <c r="BF3" i="1" s="1"/>
  <c r="CS7" i="1" l="1"/>
  <c r="CN9" i="1"/>
  <c r="DE34" i="1"/>
  <c r="DX19" i="1"/>
  <c r="DF73" i="1"/>
  <c r="CO69" i="1"/>
  <c r="CD7" i="1"/>
  <c r="DE12" i="1"/>
  <c r="DW63" i="1"/>
  <c r="DX13" i="1"/>
  <c r="CO61" i="1"/>
  <c r="AC7" i="1"/>
  <c r="AC3" i="1" s="1"/>
  <c r="DX40" i="1"/>
  <c r="BJ7" i="1"/>
  <c r="DJ7" i="1"/>
  <c r="DW73" i="1"/>
  <c r="DW40" i="1"/>
  <c r="DF15" i="1"/>
  <c r="DE15" i="1"/>
  <c r="CP61" i="1"/>
  <c r="AE61" i="1"/>
  <c r="DB17" i="1"/>
  <c r="DB9" i="1"/>
  <c r="DW71" i="1"/>
  <c r="DX71" i="1"/>
  <c r="AS7" i="1"/>
  <c r="CO17" i="1"/>
  <c r="DT9" i="1"/>
  <c r="DU10" i="1"/>
  <c r="AD17" i="1"/>
  <c r="AD7" i="1" s="1"/>
  <c r="AD3" i="1" s="1"/>
  <c r="CA9" i="1"/>
  <c r="BZ9" i="1"/>
  <c r="DU70" i="1"/>
  <c r="DT69" i="1"/>
  <c r="DC9" i="1"/>
  <c r="CR7" i="1"/>
  <c r="DE11" i="1"/>
  <c r="DF11" i="1"/>
  <c r="DU18" i="1"/>
  <c r="DT17" i="1"/>
  <c r="DX65" i="1"/>
  <c r="DW65" i="1"/>
  <c r="DC62" i="1"/>
  <c r="DB61" i="1"/>
  <c r="DE40" i="1"/>
  <c r="DE37" i="1"/>
  <c r="DF37" i="1"/>
  <c r="DF40" i="1"/>
  <c r="DF10" i="1"/>
  <c r="DE10" i="1"/>
  <c r="CP69" i="1"/>
  <c r="AE69" i="1"/>
  <c r="CP17" i="1"/>
  <c r="AE17" i="1"/>
  <c r="BZ61" i="1"/>
  <c r="CA62" i="1"/>
  <c r="CA61" i="1" s="1"/>
  <c r="DF32" i="1"/>
  <c r="DE32" i="1"/>
  <c r="BK7" i="1"/>
  <c r="DE22" i="1"/>
  <c r="DF22" i="1"/>
  <c r="CE7" i="1"/>
  <c r="BZ69" i="1"/>
  <c r="CA70" i="1"/>
  <c r="CA69" i="1" s="1"/>
  <c r="CN61" i="1"/>
  <c r="CO9" i="1"/>
  <c r="AE9" i="1"/>
  <c r="DC17" i="1"/>
  <c r="DE18" i="1"/>
  <c r="DF18" i="1"/>
  <c r="DB69" i="1"/>
  <c r="DC70" i="1"/>
  <c r="DT61" i="1"/>
  <c r="DU62" i="1"/>
  <c r="DE13" i="1"/>
  <c r="DF13" i="1"/>
  <c r="AR7" i="1"/>
  <c r="CN17" i="1"/>
  <c r="DF36" i="1"/>
  <c r="DE36" i="1"/>
  <c r="BZ17" i="1"/>
  <c r="CA18" i="1"/>
  <c r="CA17" i="1" s="1"/>
  <c r="BQ7" i="1"/>
  <c r="DF29" i="1"/>
  <c r="DE29" i="1"/>
  <c r="CP9" i="1"/>
  <c r="DW20" i="1"/>
  <c r="DX20" i="1"/>
  <c r="DF9" i="1" l="1"/>
  <c r="CN7" i="1"/>
  <c r="CO7" i="1"/>
  <c r="CP7" i="1"/>
  <c r="DE17" i="1"/>
  <c r="DX70" i="1"/>
  <c r="DX69" i="1" s="1"/>
  <c r="DW70" i="1"/>
  <c r="DW69" i="1" s="1"/>
  <c r="DU69" i="1"/>
  <c r="CA7" i="1"/>
  <c r="DT7" i="1"/>
  <c r="DF17" i="1"/>
  <c r="DW18" i="1"/>
  <c r="DW17" i="1" s="1"/>
  <c r="DX18" i="1"/>
  <c r="DX17" i="1" s="1"/>
  <c r="DU17" i="1"/>
  <c r="DX62" i="1"/>
  <c r="DX61" i="1" s="1"/>
  <c r="DU61" i="1"/>
  <c r="DW62" i="1"/>
  <c r="DW61" i="1" s="1"/>
  <c r="DE62" i="1"/>
  <c r="DE61" i="1" s="1"/>
  <c r="DF62" i="1"/>
  <c r="DF61" i="1" s="1"/>
  <c r="DC61" i="1"/>
  <c r="DC7" i="1" s="1"/>
  <c r="BZ7" i="1"/>
  <c r="DB7" i="1"/>
  <c r="DU9" i="1"/>
  <c r="DX10" i="1"/>
  <c r="DX9" i="1" s="1"/>
  <c r="DW10" i="1"/>
  <c r="DW9" i="1" s="1"/>
  <c r="AE7" i="1"/>
  <c r="AE3" i="1" s="1"/>
  <c r="DC69" i="1"/>
  <c r="DE70" i="1"/>
  <c r="DE69" i="1" s="1"/>
  <c r="DF70" i="1"/>
  <c r="DF69" i="1" s="1"/>
  <c r="DE9" i="1"/>
  <c r="DX7" i="1" l="1"/>
  <c r="DU7" i="1"/>
  <c r="DF7" i="1"/>
  <c r="DW7" i="1"/>
  <c r="DE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作成者1</author>
  </authors>
  <commentList>
    <comment ref="DD18" authorId="0" shapeId="0" xr:uid="{B0581BE5-6B25-3B4D-960C-BEBEA3C09071}">
      <text>
        <r>
          <rPr>
            <b/>
            <sz val="9"/>
            <color indexed="81"/>
            <rFont val="MS P ゴシック"/>
            <family val="3"/>
            <charset val="128"/>
          </rPr>
          <t>作成者1:</t>
        </r>
        <r>
          <rPr>
            <sz val="9"/>
            <color indexed="81"/>
            <rFont val="MS P ゴシック"/>
            <family val="3"/>
            <charset val="128"/>
          </rPr>
          <t xml:space="preserve">
[★地域産業推計_1011.xlsx]対策想定2050'!BL109　からのリンク</t>
        </r>
      </text>
    </comment>
    <comment ref="DV18" authorId="0" shapeId="0" xr:uid="{925B3E8D-55B4-E441-8C6E-98F30C8B0D52}">
      <text>
        <r>
          <rPr>
            <b/>
            <sz val="9"/>
            <color rgb="FF000000"/>
            <rFont val="MS P ゴシック"/>
            <family val="3"/>
            <charset val="128"/>
          </rPr>
          <t>作成者</t>
        </r>
        <r>
          <rPr>
            <b/>
            <sz val="9"/>
            <color rgb="FF000000"/>
            <rFont val="Calibri"/>
            <family val="3"/>
            <charset val="128"/>
            <scheme val="minor"/>
          </rPr>
          <t>1:</t>
        </r>
        <r>
          <rPr>
            <sz val="9"/>
            <color rgb="FF000000"/>
            <rFont val="Calibri"/>
            <family val="3"/>
            <charset val="128"/>
            <scheme val="minor"/>
          </rPr>
          <t xml:space="preserve">
</t>
        </r>
        <r>
          <rPr>
            <sz val="9"/>
            <color rgb="FF000000"/>
            <rFont val="Calibri"/>
            <family val="3"/>
            <charset val="128"/>
            <scheme val="minor"/>
          </rPr>
          <t>[</t>
        </r>
        <r>
          <rPr>
            <sz val="9"/>
            <color rgb="FF000000"/>
            <rFont val="MS P ゴシック"/>
            <family val="3"/>
            <charset val="128"/>
          </rPr>
          <t>★地域産業推計</t>
        </r>
        <r>
          <rPr>
            <sz val="9"/>
            <color rgb="FF000000"/>
            <rFont val="Calibri"/>
            <family val="3"/>
            <charset val="128"/>
            <scheme val="minor"/>
          </rPr>
          <t>_1011.xlsx]</t>
        </r>
        <r>
          <rPr>
            <sz val="9"/>
            <color rgb="FF000000"/>
            <rFont val="MS P ゴシック"/>
            <family val="3"/>
            <charset val="128"/>
          </rPr>
          <t>対策想定</t>
        </r>
        <r>
          <rPr>
            <sz val="9"/>
            <color rgb="FF000000"/>
            <rFont val="Calibri"/>
            <family val="3"/>
            <charset val="128"/>
            <scheme val="minor"/>
          </rPr>
          <t>2050'!BL109</t>
        </r>
        <r>
          <rPr>
            <sz val="9"/>
            <color rgb="FF000000"/>
            <rFont val="MS P ゴシック"/>
            <family val="3"/>
            <charset val="128"/>
          </rPr>
          <t>　からのリンク</t>
        </r>
      </text>
    </comment>
  </commentList>
</comments>
</file>

<file path=xl/sharedStrings.xml><?xml version="1.0" encoding="utf-8"?>
<sst xmlns="http://schemas.openxmlformats.org/spreadsheetml/2006/main" count="950" uniqueCount="386">
  <si>
    <t>非エネルギー利用</t>
    <rPh sb="0" eb="1">
      <t>ヒ</t>
    </rPh>
    <rPh sb="6" eb="8">
      <t>リヨウ</t>
    </rPh>
    <phoneticPr fontId="0"/>
  </si>
  <si>
    <t>合成燃料・合成メタン</t>
    <rPh sb="0" eb="4">
      <t>ゴウセイネンリョウ</t>
    </rPh>
    <rPh sb="5" eb="7">
      <t>ゴウセイ</t>
    </rPh>
    <phoneticPr fontId="0"/>
  </si>
  <si>
    <t>電　力</t>
  </si>
  <si>
    <t>非エネルギー利用(化石)</t>
    <rPh sb="0" eb="1">
      <t>ヒ</t>
    </rPh>
    <rPh sb="6" eb="8">
      <t>リヨウ</t>
    </rPh>
    <rPh sb="9" eb="11">
      <t>カセキ</t>
    </rPh>
    <phoneticPr fontId="0"/>
  </si>
  <si>
    <t>Base year</t>
    <phoneticPr fontId="0"/>
  </si>
  <si>
    <t>TJ</t>
    <phoneticPr fontId="0"/>
  </si>
  <si>
    <t>エネルギー利用</t>
    <rPh sb="5" eb="7">
      <t>リヨウ</t>
    </rPh>
    <phoneticPr fontId="0"/>
  </si>
  <si>
    <t>TJ</t>
  </si>
  <si>
    <t>MtCO2</t>
    <phoneticPr fontId="0"/>
  </si>
  <si>
    <t>MtCO2</t>
  </si>
  <si>
    <t>LPG</t>
    <phoneticPr fontId="0"/>
  </si>
  <si>
    <t>LPG</t>
  </si>
  <si>
    <t>合計(間接排出量)エネルギー利用</t>
    <rPh sb="0" eb="2">
      <t>ゴウケイ</t>
    </rPh>
    <rPh sb="3" eb="5">
      <t>カンセツ</t>
    </rPh>
    <rPh sb="5" eb="7">
      <t>ハイシュツ</t>
    </rPh>
    <rPh sb="7" eb="8">
      <t>リョウ</t>
    </rPh>
    <rPh sb="14" eb="16">
      <t>リヨウ</t>
    </rPh>
    <phoneticPr fontId="0"/>
  </si>
  <si>
    <t>合計(直接排出量+熱)エネルギー利用</t>
    <rPh sb="0" eb="2">
      <t>ゴウケイ</t>
    </rPh>
    <rPh sb="3" eb="5">
      <t>チョクセツ</t>
    </rPh>
    <rPh sb="5" eb="7">
      <t>ハイシュツ</t>
    </rPh>
    <rPh sb="7" eb="8">
      <t>リョウ</t>
    </rPh>
    <rPh sb="9" eb="10">
      <t>ネツ</t>
    </rPh>
    <rPh sb="16" eb="18">
      <t>リヨウ</t>
    </rPh>
    <phoneticPr fontId="0"/>
  </si>
  <si>
    <t>合計(間接排出量)</t>
    <rPh sb="0" eb="2">
      <t>ゴウケイ</t>
    </rPh>
    <rPh sb="3" eb="5">
      <t>カンセツ</t>
    </rPh>
    <rPh sb="5" eb="7">
      <t>ハイシュツ</t>
    </rPh>
    <rPh sb="7" eb="8">
      <t>リョウ</t>
    </rPh>
    <phoneticPr fontId="0"/>
  </si>
  <si>
    <t>合計(直接排出量+熱)</t>
    <rPh sb="0" eb="2">
      <t>ゴウケイ</t>
    </rPh>
    <rPh sb="3" eb="5">
      <t>チョクセツ</t>
    </rPh>
    <rPh sb="5" eb="7">
      <t>ハイシュツ</t>
    </rPh>
    <rPh sb="7" eb="8">
      <t>リョウ</t>
    </rPh>
    <rPh sb="9" eb="10">
      <t>ネツ</t>
    </rPh>
    <phoneticPr fontId="0"/>
  </si>
  <si>
    <t>合計(直接排出量+熱) CCS回収後</t>
    <rPh sb="0" eb="2">
      <t>ゴウケイ</t>
    </rPh>
    <rPh sb="3" eb="5">
      <t>チョクセツ</t>
    </rPh>
    <rPh sb="5" eb="7">
      <t>ハイシュツ</t>
    </rPh>
    <rPh sb="7" eb="8">
      <t>リョウ</t>
    </rPh>
    <rPh sb="9" eb="10">
      <t>ネツ</t>
    </rPh>
    <rPh sb="15" eb="18">
      <t>カイシュウゴ</t>
    </rPh>
    <phoneticPr fontId="0"/>
  </si>
  <si>
    <t>#500000</t>
  </si>
  <si>
    <t xml:space="preserve"> Final Energy Consumption</t>
  </si>
  <si>
    <t>#611000</t>
  </si>
  <si>
    <t>AB</t>
  </si>
  <si>
    <t xml:space="preserve"> Agriculture, Forestry and Fishery</t>
  </si>
  <si>
    <t>#611100</t>
  </si>
  <si>
    <t xml:space="preserve"> A01</t>
  </si>
  <si>
    <t xml:space="preserve">   Agriculture</t>
  </si>
  <si>
    <t>農業</t>
    <rPh sb="0" eb="1">
      <t>ノウ</t>
    </rPh>
    <phoneticPr fontId="0"/>
  </si>
  <si>
    <t>#611200</t>
  </si>
  <si>
    <t xml:space="preserve"> A02</t>
  </si>
  <si>
    <t xml:space="preserve">   Forestry</t>
  </si>
  <si>
    <t>林業</t>
    <phoneticPr fontId="0"/>
  </si>
  <si>
    <t>林業</t>
  </si>
  <si>
    <t>#611300</t>
  </si>
  <si>
    <t xml:space="preserve"> B03</t>
  </si>
  <si>
    <t xml:space="preserve">   Fishery, except Aquaculture</t>
  </si>
  <si>
    <t>漁業</t>
    <phoneticPr fontId="0"/>
  </si>
  <si>
    <t>漁業</t>
  </si>
  <si>
    <t>#611400</t>
  </si>
  <si>
    <t xml:space="preserve"> B04</t>
  </si>
  <si>
    <t xml:space="preserve">   Aquaculture</t>
  </si>
  <si>
    <t>水産養殖業</t>
    <rPh sb="1" eb="3">
      <t>スイサンヨウショクギョウ</t>
    </rPh>
    <phoneticPr fontId="0"/>
  </si>
  <si>
    <t>#612000</t>
  </si>
  <si>
    <t>C</t>
  </si>
  <si>
    <t xml:space="preserve"> Mining, Quarrying of Stone and Gravel</t>
  </si>
  <si>
    <t>鉱業他</t>
    <rPh sb="0" eb="2">
      <t>コウギョウ</t>
    </rPh>
    <rPh sb="2" eb="3">
      <t>ホカ</t>
    </rPh>
    <phoneticPr fontId="0"/>
  </si>
  <si>
    <t>#615000</t>
  </si>
  <si>
    <t>D</t>
  </si>
  <si>
    <t xml:space="preserve"> Construction Work Industry</t>
  </si>
  <si>
    <t>建設業</t>
    <rPh sb="0" eb="3">
      <t>ケンセツギョウ</t>
    </rPh>
    <phoneticPr fontId="0"/>
  </si>
  <si>
    <t>#620000</t>
  </si>
  <si>
    <t>E</t>
  </si>
  <si>
    <t xml:space="preserve"> Manufacturing, Auto Power Generation  </t>
  </si>
  <si>
    <t>製造業</t>
  </si>
  <si>
    <t>#621000</t>
  </si>
  <si>
    <t xml:space="preserve"> E09-10</t>
  </si>
  <si>
    <t xml:space="preserve">   Manufacture of Food, Beverages, Tobacco and Feed</t>
  </si>
  <si>
    <t>食品飲料製造業</t>
    <rPh sb="0" eb="2">
      <t>ショクヒン</t>
    </rPh>
    <rPh sb="2" eb="4">
      <t>インリョウ</t>
    </rPh>
    <phoneticPr fontId="0"/>
  </si>
  <si>
    <t>#622000</t>
  </si>
  <si>
    <t xml:space="preserve"> E11</t>
  </si>
  <si>
    <t xml:space="preserve">   Manufacture of Textile Mill Products</t>
  </si>
  <si>
    <t>繊維工業</t>
    <rPh sb="0" eb="2">
      <t>センイ</t>
    </rPh>
    <rPh sb="2" eb="4">
      <t>コウギョウ</t>
    </rPh>
    <phoneticPr fontId="0"/>
  </si>
  <si>
    <t>#623000</t>
  </si>
  <si>
    <t xml:space="preserve"> E12-13</t>
  </si>
  <si>
    <t xml:space="preserve">   Manufacture of Lumber, Wood Products, Furniture and Fixtures</t>
  </si>
  <si>
    <t>木製品･家具他工業</t>
    <rPh sb="0" eb="3">
      <t>モクセイヒン</t>
    </rPh>
    <rPh sb="4" eb="6">
      <t>カグ</t>
    </rPh>
    <rPh sb="6" eb="7">
      <t>ホカ</t>
    </rPh>
    <rPh sb="7" eb="9">
      <t>コウギョウ</t>
    </rPh>
    <phoneticPr fontId="0"/>
  </si>
  <si>
    <t>#624000</t>
  </si>
  <si>
    <t xml:space="preserve"> E14</t>
  </si>
  <si>
    <t xml:space="preserve">   Manufacture of Pulp, Paper and Paper Products</t>
  </si>
  <si>
    <t>パルプ･紙･紙加工品製造業</t>
    <rPh sb="4" eb="5">
      <t>カミ</t>
    </rPh>
    <rPh sb="6" eb="7">
      <t>カミ</t>
    </rPh>
    <rPh sb="7" eb="10">
      <t>カコウヒン</t>
    </rPh>
    <rPh sb="10" eb="13">
      <t>セイゾウギョウ</t>
    </rPh>
    <phoneticPr fontId="0"/>
  </si>
  <si>
    <t>#625000</t>
  </si>
  <si>
    <t xml:space="preserve"> E15</t>
  </si>
  <si>
    <t xml:space="preserve">   Printing and Allied Industries</t>
  </si>
  <si>
    <t>印刷･同関連業</t>
    <rPh sb="0" eb="2">
      <t>インサツ</t>
    </rPh>
    <rPh sb="3" eb="4">
      <t>ドウ</t>
    </rPh>
    <rPh sb="4" eb="6">
      <t>カンレン</t>
    </rPh>
    <rPh sb="6" eb="7">
      <t>ギョウ</t>
    </rPh>
    <phoneticPr fontId="0"/>
  </si>
  <si>
    <t>#626100</t>
  </si>
  <si>
    <t xml:space="preserve"> E16</t>
  </si>
  <si>
    <t xml:space="preserve">   Manufacture of Chemical and Allied Products</t>
  </si>
  <si>
    <t>化学工業</t>
    <rPh sb="0" eb="2">
      <t>カガク</t>
    </rPh>
    <rPh sb="2" eb="4">
      <t>コウギョウ</t>
    </rPh>
    <phoneticPr fontId="0"/>
  </si>
  <si>
    <t>#626500</t>
  </si>
  <si>
    <t xml:space="preserve"> E17</t>
  </si>
  <si>
    <t xml:space="preserve">   Manufacture of Petroleum and Coal Products</t>
  </si>
  <si>
    <t>石油製品･石炭製品製造業</t>
    <rPh sb="0" eb="2">
      <t>セキユ</t>
    </rPh>
    <rPh sb="2" eb="4">
      <t>セイヒン</t>
    </rPh>
    <rPh sb="5" eb="7">
      <t>セキタン</t>
    </rPh>
    <rPh sb="7" eb="9">
      <t>セイヒン</t>
    </rPh>
    <rPh sb="9" eb="12">
      <t>セイゾウギョウ</t>
    </rPh>
    <phoneticPr fontId="0"/>
  </si>
  <si>
    <t>#627000</t>
  </si>
  <si>
    <t xml:space="preserve"> E18-20</t>
  </si>
  <si>
    <t xml:space="preserve">   Manufacture of Plastic Products, Rubber Products and Leather Products</t>
  </si>
  <si>
    <t>プラスチック･ゴム･皮革製品製造業</t>
    <rPh sb="10" eb="12">
      <t>ヒカク</t>
    </rPh>
    <rPh sb="12" eb="14">
      <t>セイヒン</t>
    </rPh>
    <rPh sb="14" eb="17">
      <t>セイゾウギョウ</t>
    </rPh>
    <phoneticPr fontId="0"/>
  </si>
  <si>
    <t>#628000</t>
  </si>
  <si>
    <t xml:space="preserve"> E21</t>
  </si>
  <si>
    <t xml:space="preserve">   Manufacture of Ceramic, Stone and Clay Products</t>
  </si>
  <si>
    <t>窯業･土石製品製造業</t>
    <rPh sb="0" eb="2">
      <t>ヨウギョウ</t>
    </rPh>
    <rPh sb="3" eb="5">
      <t>ドセキ</t>
    </rPh>
    <rPh sb="5" eb="7">
      <t>セイヒン</t>
    </rPh>
    <rPh sb="7" eb="9">
      <t>セイゾウ</t>
    </rPh>
    <rPh sb="9" eb="10">
      <t>ギョウ</t>
    </rPh>
    <phoneticPr fontId="0"/>
  </si>
  <si>
    <t>#629100</t>
  </si>
  <si>
    <t xml:space="preserve"> E22</t>
  </si>
  <si>
    <t xml:space="preserve">   Manufacture of Iron and Steel</t>
  </si>
  <si>
    <t>鉄鋼業</t>
    <rPh sb="0" eb="3">
      <t>テッコウギョウ</t>
    </rPh>
    <phoneticPr fontId="0"/>
  </si>
  <si>
    <t>#629300</t>
  </si>
  <si>
    <t xml:space="preserve"> E23</t>
  </si>
  <si>
    <t xml:space="preserve">   Manufacture of Non-Ferrous Metals and Products</t>
  </si>
  <si>
    <t>非鉄金属製造業</t>
    <rPh sb="0" eb="2">
      <t>ヒテツ</t>
    </rPh>
    <rPh sb="2" eb="4">
      <t>キンゾク</t>
    </rPh>
    <rPh sb="4" eb="7">
      <t>セイゾウギョウ</t>
    </rPh>
    <phoneticPr fontId="0"/>
  </si>
  <si>
    <t>#629500</t>
  </si>
  <si>
    <t xml:space="preserve"> E24</t>
  </si>
  <si>
    <t xml:space="preserve">   Manufacture of Fabricated Metal Products</t>
  </si>
  <si>
    <t>金属製品製造業</t>
    <rPh sb="0" eb="2">
      <t>キンゾク</t>
    </rPh>
    <rPh sb="2" eb="4">
      <t>セイヒン</t>
    </rPh>
    <rPh sb="4" eb="7">
      <t>セイゾウギョウ</t>
    </rPh>
    <phoneticPr fontId="0"/>
  </si>
  <si>
    <t>#630100</t>
  </si>
  <si>
    <t xml:space="preserve"> E25</t>
  </si>
  <si>
    <t xml:space="preserve">   Manufacture of General Purpose Machinery</t>
  </si>
  <si>
    <t>汎用機械器具製造業</t>
    <rPh sb="0" eb="2">
      <t>ハンヨウ</t>
    </rPh>
    <rPh sb="2" eb="4">
      <t>キカイ</t>
    </rPh>
    <rPh sb="4" eb="6">
      <t>キグ</t>
    </rPh>
    <rPh sb="6" eb="9">
      <t>セイゾウギョウ</t>
    </rPh>
    <phoneticPr fontId="0"/>
  </si>
  <si>
    <t>#630200</t>
  </si>
  <si>
    <t xml:space="preserve"> E26</t>
  </si>
  <si>
    <t xml:space="preserve">   Manufacture of Production Machinery</t>
  </si>
  <si>
    <t>生産機械器具製造業</t>
    <rPh sb="1" eb="3">
      <t>キカイ</t>
    </rPh>
    <rPh sb="3" eb="5">
      <t>キグ</t>
    </rPh>
    <rPh sb="5" eb="8">
      <t>セイゾウギョウ</t>
    </rPh>
    <phoneticPr fontId="0"/>
  </si>
  <si>
    <t>#630300</t>
  </si>
  <si>
    <t xml:space="preserve"> E27</t>
  </si>
  <si>
    <t xml:space="preserve">   Manufacture of Business Oriented Machinery</t>
  </si>
  <si>
    <t>業務用機械器具製造業</t>
    <rPh sb="0" eb="3">
      <t>ギョウムヨウ</t>
    </rPh>
    <rPh sb="3" eb="5">
      <t>キカイ</t>
    </rPh>
    <rPh sb="5" eb="7">
      <t>キグ</t>
    </rPh>
    <rPh sb="7" eb="10">
      <t>セイゾウギョウ</t>
    </rPh>
    <phoneticPr fontId="0"/>
  </si>
  <si>
    <t>#630400</t>
  </si>
  <si>
    <t xml:space="preserve"> E28</t>
  </si>
  <si>
    <t xml:space="preserve">   Manufacture of Electronic Parts, Devices and Electronic Circuits</t>
  </si>
  <si>
    <t>電子部品デバイス電子回路製造業</t>
    <rPh sb="0" eb="2">
      <t>デンシ</t>
    </rPh>
    <rPh sb="2" eb="4">
      <t>ブヒン</t>
    </rPh>
    <rPh sb="8" eb="10">
      <t>デンシ</t>
    </rPh>
    <rPh sb="10" eb="12">
      <t>カイロ</t>
    </rPh>
    <rPh sb="12" eb="15">
      <t>セイゾウギョウ</t>
    </rPh>
    <phoneticPr fontId="0"/>
  </si>
  <si>
    <t>#630500</t>
  </si>
  <si>
    <t xml:space="preserve"> E29</t>
  </si>
  <si>
    <t xml:space="preserve">   Manufacture of Electronic Machinery, Equipment and Supplies</t>
  </si>
  <si>
    <t>電気機械器具製造業</t>
    <rPh sb="1" eb="3">
      <t>キカイ</t>
    </rPh>
    <rPh sb="3" eb="5">
      <t>キグ</t>
    </rPh>
    <rPh sb="5" eb="8">
      <t>セイゾウギョウ</t>
    </rPh>
    <phoneticPr fontId="0"/>
  </si>
  <si>
    <t>#630600</t>
  </si>
  <si>
    <t xml:space="preserve"> E30</t>
  </si>
  <si>
    <t xml:space="preserve">   Manufacture of Information and Communication Electronics Equipment</t>
  </si>
  <si>
    <t>情報通信機械器具製造業</t>
    <rPh sb="3" eb="5">
      <t>キカイ</t>
    </rPh>
    <rPh sb="5" eb="7">
      <t>キグ</t>
    </rPh>
    <rPh sb="7" eb="10">
      <t>セイゾウギョウ</t>
    </rPh>
    <phoneticPr fontId="0"/>
  </si>
  <si>
    <t>#630700</t>
  </si>
  <si>
    <t xml:space="preserve"> E31</t>
  </si>
  <si>
    <t xml:space="preserve">   Manufacture of Transportation Equipment</t>
  </si>
  <si>
    <t>輸送用機械器具製造業</t>
    <rPh sb="2" eb="4">
      <t>キカイ</t>
    </rPh>
    <rPh sb="4" eb="6">
      <t>キグ</t>
    </rPh>
    <rPh sb="6" eb="9">
      <t>セイゾウギョウ</t>
    </rPh>
    <phoneticPr fontId="0"/>
  </si>
  <si>
    <t>#630900</t>
  </si>
  <si>
    <t>E25-E31</t>
  </si>
  <si>
    <t xml:space="preserve">   Miscellaneous Products</t>
  </si>
  <si>
    <t>機械製造業他製品</t>
    <rPh sb="0" eb="2">
      <t>キカイ</t>
    </rPh>
    <rPh sb="2" eb="5">
      <t>セイゾウギョウ</t>
    </rPh>
    <rPh sb="5" eb="6">
      <t>ホカ</t>
    </rPh>
    <rPh sb="6" eb="8">
      <t>セイヒン</t>
    </rPh>
    <phoneticPr fontId="0"/>
  </si>
  <si>
    <t>#641000</t>
  </si>
  <si>
    <t xml:space="preserve"> E32</t>
  </si>
  <si>
    <t xml:space="preserve">   Miscellaneous Manufacturing Industry</t>
  </si>
  <si>
    <t>他製造業</t>
    <rPh sb="0" eb="1">
      <t>ホカ</t>
    </rPh>
    <rPh sb="1" eb="4">
      <t>セイゾウギョウ</t>
    </rPh>
    <phoneticPr fontId="0"/>
  </si>
  <si>
    <t>#650000</t>
  </si>
  <si>
    <t>F-S</t>
  </si>
  <si>
    <t xml:space="preserve"> Commercial Industry</t>
  </si>
  <si>
    <t>業務他(第三次産業)</t>
    <rPh sb="0" eb="1">
      <t>ギョウム</t>
    </rPh>
    <rPh sb="1" eb="2">
      <t>ホカ</t>
    </rPh>
    <rPh sb="3" eb="6">
      <t>ダイサンジ</t>
    </rPh>
    <rPh sb="6" eb="8">
      <t>サンギョウ</t>
    </rPh>
    <phoneticPr fontId="0"/>
  </si>
  <si>
    <t>#651000</t>
  </si>
  <si>
    <t>F</t>
  </si>
  <si>
    <t xml:space="preserve"> Electricity, Gas, Heat Supply and Water</t>
  </si>
  <si>
    <t>電気ガス熱供給水道業</t>
    <rPh sb="0" eb="1">
      <t>デンキ</t>
    </rPh>
    <rPh sb="4" eb="5">
      <t>ネツ</t>
    </rPh>
    <rPh sb="5" eb="7">
      <t>キョウキュウ</t>
    </rPh>
    <rPh sb="7" eb="10">
      <t>スイドウギョウ</t>
    </rPh>
    <rPh sb="8" eb="9">
      <t>ギョウ</t>
    </rPh>
    <phoneticPr fontId="0"/>
  </si>
  <si>
    <t>#652000</t>
  </si>
  <si>
    <t>G</t>
  </si>
  <si>
    <t xml:space="preserve"> Information and Communications</t>
  </si>
  <si>
    <t>情報通信業</t>
    <rPh sb="0" eb="2">
      <t>ジョウホウ</t>
    </rPh>
    <rPh sb="2" eb="5">
      <t>ツウシンギョウ</t>
    </rPh>
    <phoneticPr fontId="0"/>
  </si>
  <si>
    <t>#653000</t>
  </si>
  <si>
    <t>H</t>
  </si>
  <si>
    <t xml:space="preserve"> Transport and Postal Activities</t>
  </si>
  <si>
    <t>運輸業･郵便業</t>
    <rPh sb="0" eb="3">
      <t>ウンユギョウ</t>
    </rPh>
    <rPh sb="4" eb="6">
      <t>ユウビン</t>
    </rPh>
    <rPh sb="6" eb="7">
      <t>ギョウ</t>
    </rPh>
    <phoneticPr fontId="0"/>
  </si>
  <si>
    <t>#654000</t>
  </si>
  <si>
    <t>I</t>
  </si>
  <si>
    <t xml:space="preserve"> Wholesale and Retail Trade</t>
  </si>
  <si>
    <t>卸売業･小売業</t>
    <rPh sb="0" eb="3">
      <t>オロシウリギョウ</t>
    </rPh>
    <rPh sb="4" eb="7">
      <t>コウリギョウ</t>
    </rPh>
    <phoneticPr fontId="0"/>
  </si>
  <si>
    <t>#655000</t>
  </si>
  <si>
    <t>J</t>
  </si>
  <si>
    <t xml:space="preserve"> Finance and Insurance</t>
  </si>
  <si>
    <t>金融業･保険業</t>
    <rPh sb="0" eb="3">
      <t>キンユウギョウ</t>
    </rPh>
    <rPh sb="4" eb="7">
      <t>ホケンギョウ</t>
    </rPh>
    <phoneticPr fontId="0"/>
  </si>
  <si>
    <t>#656000</t>
  </si>
  <si>
    <t>K</t>
  </si>
  <si>
    <t xml:space="preserve"> Real Estate and Goods Rental and Leasing</t>
  </si>
  <si>
    <t>不動産業･物品賃貸業</t>
    <rPh sb="0" eb="3">
      <t>フドウサン</t>
    </rPh>
    <rPh sb="3" eb="4">
      <t>ギョウ</t>
    </rPh>
    <rPh sb="5" eb="7">
      <t>ブッピン</t>
    </rPh>
    <rPh sb="7" eb="9">
      <t>チンタイ</t>
    </rPh>
    <phoneticPr fontId="0"/>
  </si>
  <si>
    <t>#657000</t>
  </si>
  <si>
    <t>L</t>
  </si>
  <si>
    <t xml:space="preserve"> Scientific Research, Professional and Technical Services</t>
  </si>
  <si>
    <t>学術研究･専門･技術サービス業</t>
    <rPh sb="0" eb="2">
      <t>ガクジュツ</t>
    </rPh>
    <rPh sb="2" eb="4">
      <t>ケンキュウ</t>
    </rPh>
    <rPh sb="5" eb="7">
      <t>センモン</t>
    </rPh>
    <rPh sb="8" eb="10">
      <t>ギジュツ</t>
    </rPh>
    <rPh sb="14" eb="15">
      <t>ギョウ</t>
    </rPh>
    <phoneticPr fontId="0"/>
  </si>
  <si>
    <t xml:space="preserve"> M75</t>
  </si>
  <si>
    <t xml:space="preserve">   Accommodations</t>
  </si>
  <si>
    <t>宿泊業</t>
    <rPh sb="0" eb="1">
      <t>ギョウ</t>
    </rPh>
    <phoneticPr fontId="0"/>
  </si>
  <si>
    <t xml:space="preserve">   Eating and Drinking Places</t>
  </si>
  <si>
    <t>飲食店、持帰･配達飲食サービス業</t>
    <phoneticPr fontId="0"/>
  </si>
  <si>
    <t>飲食店、持帰･配達飲食サービス業</t>
  </si>
  <si>
    <t>#659000</t>
  </si>
  <si>
    <t>N</t>
  </si>
  <si>
    <t xml:space="preserve"> Living Related and Personal Services and Amusement Services</t>
  </si>
  <si>
    <t>生活関連サービス業･娯楽業</t>
    <rPh sb="0" eb="2">
      <t>セイカツ</t>
    </rPh>
    <rPh sb="2" eb="4">
      <t>カンレン</t>
    </rPh>
    <rPh sb="8" eb="9">
      <t>ギョウ</t>
    </rPh>
    <rPh sb="10" eb="13">
      <t>ゴラクギョウ</t>
    </rPh>
    <phoneticPr fontId="0"/>
  </si>
  <si>
    <t>#660000</t>
  </si>
  <si>
    <t>O</t>
  </si>
  <si>
    <t xml:space="preserve"> Education, Learning Support</t>
  </si>
  <si>
    <t>教育･学習支援業</t>
    <rPh sb="0" eb="2">
      <t>キョウイク</t>
    </rPh>
    <rPh sb="2" eb="3">
      <t>サンギョウ</t>
    </rPh>
    <rPh sb="3" eb="5">
      <t>ガクシュウ</t>
    </rPh>
    <rPh sb="5" eb="7">
      <t>シエン</t>
    </rPh>
    <rPh sb="7" eb="8">
      <t>ギョウ</t>
    </rPh>
    <phoneticPr fontId="0"/>
  </si>
  <si>
    <t xml:space="preserve">   Medical and Other Health Services</t>
  </si>
  <si>
    <t>医療業</t>
    <rPh sb="1" eb="2">
      <t>ギョウ</t>
    </rPh>
    <phoneticPr fontId="0"/>
  </si>
  <si>
    <t>#662000</t>
  </si>
  <si>
    <t>Q</t>
  </si>
  <si>
    <t xml:space="preserve"> Compound Services</t>
  </si>
  <si>
    <t>複合サービス事業</t>
    <rPh sb="0" eb="2">
      <t>フクゴウ</t>
    </rPh>
    <rPh sb="6" eb="8">
      <t>ジギョウ</t>
    </rPh>
    <phoneticPr fontId="0"/>
  </si>
  <si>
    <t>#663000</t>
  </si>
  <si>
    <t>R</t>
  </si>
  <si>
    <t xml:space="preserve"> Miscellaneous Services</t>
  </si>
  <si>
    <t>他サービス業</t>
    <rPh sb="0" eb="1">
      <t>ホカ</t>
    </rPh>
    <phoneticPr fontId="0"/>
  </si>
  <si>
    <t>#680000</t>
  </si>
  <si>
    <t>S</t>
  </si>
  <si>
    <t xml:space="preserve"> Government </t>
  </si>
  <si>
    <t>公務</t>
    <rPh sb="0" eb="1">
      <t>コウ</t>
    </rPh>
    <rPh sb="1" eb="2">
      <t>ツトム</t>
    </rPh>
    <phoneticPr fontId="0"/>
  </si>
  <si>
    <t>#690000</t>
  </si>
  <si>
    <t xml:space="preserve"> Unable to Classify</t>
  </si>
  <si>
    <t>分類不能･内訳推計誤差</t>
    <rPh sb="0" eb="2">
      <t>ブンルイ</t>
    </rPh>
    <rPh sb="2" eb="4">
      <t>フノウ</t>
    </rPh>
    <rPh sb="5" eb="7">
      <t>ウチワケ</t>
    </rPh>
    <rPh sb="7" eb="9">
      <t>スイケイ</t>
    </rPh>
    <rPh sb="9" eb="11">
      <t>ゴサ</t>
    </rPh>
    <phoneticPr fontId="0"/>
  </si>
  <si>
    <t>#700000</t>
  </si>
  <si>
    <t>X</t>
  </si>
  <si>
    <t xml:space="preserve"> Residential</t>
  </si>
  <si>
    <t>家庭</t>
  </si>
  <si>
    <t>石　炭</t>
  </si>
  <si>
    <t>石炭製品</t>
  </si>
  <si>
    <t>天然ガス</t>
  </si>
  <si>
    <t>都市ガス</t>
  </si>
  <si>
    <t>再生可能エネルギー(水力を除く)</t>
  </si>
  <si>
    <t>熱</t>
  </si>
  <si>
    <t>合　計</t>
  </si>
  <si>
    <t>#810000</t>
  </si>
  <si>
    <t xml:space="preserve"> Passenger Transportation</t>
  </si>
  <si>
    <t>#811000</t>
  </si>
  <si>
    <t xml:space="preserve">   Passenger Vehicle</t>
  </si>
  <si>
    <t>乗用車</t>
    <rPh sb="0" eb="3">
      <t>ジョウヨウシャ</t>
    </rPh>
    <phoneticPr fontId="0"/>
  </si>
  <si>
    <t>#811500</t>
  </si>
  <si>
    <t xml:space="preserve"> </t>
  </si>
  <si>
    <t xml:space="preserve">   Bus</t>
  </si>
  <si>
    <t>バス</t>
  </si>
  <si>
    <t>#812000</t>
  </si>
  <si>
    <t xml:space="preserve">   Motorcycle</t>
  </si>
  <si>
    <t>二輪車</t>
    <rPh sb="0" eb="1">
      <t>ニ</t>
    </rPh>
    <rPh sb="1" eb="2">
      <t>ワ</t>
    </rPh>
    <rPh sb="2" eb="3">
      <t>クルマ</t>
    </rPh>
    <phoneticPr fontId="0"/>
  </si>
  <si>
    <t>#813000</t>
  </si>
  <si>
    <t xml:space="preserve"> H42</t>
  </si>
  <si>
    <t xml:space="preserve">   Railway Passenger Transport</t>
  </si>
  <si>
    <t>鉄道</t>
    <rPh sb="0" eb="1">
      <t>テツ</t>
    </rPh>
    <rPh sb="1" eb="2">
      <t>ミチ</t>
    </rPh>
    <phoneticPr fontId="0"/>
  </si>
  <si>
    <t>#814000</t>
  </si>
  <si>
    <t xml:space="preserve"> H45</t>
  </si>
  <si>
    <t xml:space="preserve">   Water Passenger Transport</t>
  </si>
  <si>
    <t>船舶</t>
    <rPh sb="0" eb="1">
      <t>セン</t>
    </rPh>
    <rPh sb="1" eb="2">
      <t>ハク</t>
    </rPh>
    <phoneticPr fontId="0"/>
  </si>
  <si>
    <t>#815000</t>
  </si>
  <si>
    <t xml:space="preserve"> H46</t>
  </si>
  <si>
    <t xml:space="preserve">   Air Passenger Transport</t>
  </si>
  <si>
    <t>航空</t>
    <rPh sb="0" eb="1">
      <t>ワタル</t>
    </rPh>
    <rPh sb="1" eb="2">
      <t>ソラ</t>
    </rPh>
    <phoneticPr fontId="0"/>
  </si>
  <si>
    <t>#850000</t>
  </si>
  <si>
    <t xml:space="preserve"> Freight</t>
  </si>
  <si>
    <t>#851000</t>
  </si>
  <si>
    <t xml:space="preserve">   Truck and Lorry </t>
  </si>
  <si>
    <t>貨物自動車/トラック</t>
    <rPh sb="0" eb="2">
      <t>カモツ</t>
    </rPh>
    <rPh sb="2" eb="4">
      <t>ジドウ</t>
    </rPh>
    <phoneticPr fontId="0"/>
  </si>
  <si>
    <t>#852000</t>
  </si>
  <si>
    <t xml:space="preserve">   Railway Freight Transport</t>
  </si>
  <si>
    <t>#853000</t>
  </si>
  <si>
    <t xml:space="preserve">   Water Freight Transport</t>
  </si>
  <si>
    <t>#854000</t>
  </si>
  <si>
    <t xml:space="preserve">   Air Freight Transport</t>
  </si>
  <si>
    <t>エネルギー利用</t>
  </si>
  <si>
    <t>非エネルギー利用</t>
  </si>
  <si>
    <t>石油製品</t>
  </si>
  <si>
    <t>#950000</t>
  </si>
  <si>
    <t xml:space="preserve"> Non-energy and Feedstock Use</t>
  </si>
  <si>
    <t>#951000</t>
  </si>
  <si>
    <t xml:space="preserve"> Industry</t>
  </si>
  <si>
    <t>#951100</t>
  </si>
  <si>
    <t xml:space="preserve"> Agriculture, Fishery, Mining and Construction, Auto Power Generation</t>
  </si>
  <si>
    <t>#951500</t>
  </si>
  <si>
    <t xml:space="preserve"> Manufacturing Industry, Large Scale</t>
  </si>
  <si>
    <t>#951510</t>
  </si>
  <si>
    <t xml:space="preserve">  E11</t>
  </si>
  <si>
    <t xml:space="preserve">     Manufacture of Man-made Staple Fibre, Large Scale</t>
  </si>
  <si>
    <t>#951520</t>
  </si>
  <si>
    <t xml:space="preserve">  E14</t>
  </si>
  <si>
    <t xml:space="preserve">     Manufacture of Pulp, Paper and Paper Products, Large Scale</t>
  </si>
  <si>
    <t>#951530</t>
  </si>
  <si>
    <t xml:space="preserve">  E16</t>
  </si>
  <si>
    <t xml:space="preserve">     Manufacture of Petrochemical, Ammonia, Soda Products</t>
  </si>
  <si>
    <t>#951540</t>
  </si>
  <si>
    <t xml:space="preserve">  E17</t>
  </si>
  <si>
    <t xml:space="preserve">     Manufacture of Petroleum Products</t>
  </si>
  <si>
    <t>#951550</t>
  </si>
  <si>
    <t xml:space="preserve">  E21</t>
  </si>
  <si>
    <t xml:space="preserve">     Manufacture of Ceramic, Stone and Clay Products</t>
  </si>
  <si>
    <t>#951551</t>
  </si>
  <si>
    <t xml:space="preserve">    E21</t>
  </si>
  <si>
    <t xml:space="preserve">       Manufacture of Cement, Flat Glass, Lime Products</t>
  </si>
  <si>
    <t>#951552</t>
  </si>
  <si>
    <t xml:space="preserve">       Manufacture of Glass Products except Flat Glass</t>
  </si>
  <si>
    <t>#951560</t>
  </si>
  <si>
    <t xml:space="preserve">  E22</t>
  </si>
  <si>
    <t xml:space="preserve">     Manufacture of Iron, Steel and Steel Products</t>
  </si>
  <si>
    <t>#951570</t>
  </si>
  <si>
    <t xml:space="preserve">  E23</t>
  </si>
  <si>
    <t xml:space="preserve">     Primary Smelting and Refining of Copper, Lead, Zinc and Aluminium</t>
  </si>
  <si>
    <t>#951580</t>
  </si>
  <si>
    <t xml:space="preserve">  E25-E31</t>
  </si>
  <si>
    <t xml:space="preserve">     Manufacture of Machinery, Large Scale</t>
  </si>
  <si>
    <t>#951700</t>
  </si>
  <si>
    <t xml:space="preserve"> Manufacturing Industry, Small and Medium Scale</t>
  </si>
  <si>
    <t>#951800</t>
  </si>
  <si>
    <t xml:space="preserve"> Commercial</t>
  </si>
  <si>
    <t>#952000</t>
  </si>
  <si>
    <t xml:space="preserve"> Household</t>
  </si>
  <si>
    <t>#953000</t>
  </si>
  <si>
    <t xml:space="preserve"> Transportation</t>
  </si>
  <si>
    <t/>
  </si>
  <si>
    <t>石炭</t>
  </si>
  <si>
    <t>石油</t>
  </si>
  <si>
    <t>ガス</t>
  </si>
  <si>
    <t>バイオマスなど</t>
  </si>
  <si>
    <t>電力</t>
  </si>
  <si>
    <t>水素</t>
  </si>
  <si>
    <t>非エネルギー利用(水素)</t>
  </si>
  <si>
    <t>石油製品(LPG除く)</t>
  </si>
  <si>
    <r>
      <rPr>
        <sz val="11"/>
        <color theme="1"/>
        <rFont val="Meiryo UI"/>
        <family val="2"/>
        <charset val="128"/>
      </rPr>
      <t>非エネルギー利用(水素)</t>
    </r>
  </si>
  <si>
    <t>非エネルギー利用合計</t>
  </si>
  <si>
    <r>
      <t>CCS</t>
    </r>
    <r>
      <rPr>
        <sz val="11"/>
        <color theme="1"/>
        <rFont val="Meiryo UI"/>
        <family val="2"/>
        <charset val="128"/>
      </rPr>
      <t>回収率</t>
    </r>
  </si>
  <si>
    <t>CCS回収量</t>
  </si>
  <si>
    <t>最終エネルギー消費</t>
  </si>
  <si>
    <t>農林水産業</t>
  </si>
  <si>
    <t xml:space="preserve">          農　業</t>
  </si>
  <si>
    <t xml:space="preserve">          林　業</t>
  </si>
  <si>
    <t xml:space="preserve">          漁　業</t>
  </si>
  <si>
    <t xml:space="preserve">          水産養殖業</t>
  </si>
  <si>
    <t xml:space="preserve">     鉱業他</t>
  </si>
  <si>
    <t xml:space="preserve">     建設業</t>
  </si>
  <si>
    <t xml:space="preserve">     食品飲料製造業</t>
  </si>
  <si>
    <t xml:space="preserve">     繊維工業</t>
  </si>
  <si>
    <t xml:space="preserve">     木製品･家具他工業</t>
  </si>
  <si>
    <t xml:space="preserve">     パルプ･紙･紙加工品製造業</t>
  </si>
  <si>
    <t xml:space="preserve">     印刷･同関連業</t>
  </si>
  <si>
    <t xml:space="preserve">          化学工業</t>
  </si>
  <si>
    <t xml:space="preserve">          石油製品･石炭製品製造業</t>
  </si>
  <si>
    <t xml:space="preserve">     プラスチック･ゴム･皮革製品製造業</t>
  </si>
  <si>
    <t xml:space="preserve">     窯業･土石製品製造業</t>
  </si>
  <si>
    <t xml:space="preserve">          鉄鋼業</t>
  </si>
  <si>
    <t xml:space="preserve">          非鉄金属製造業</t>
  </si>
  <si>
    <t xml:space="preserve">          金属製品製造業</t>
  </si>
  <si>
    <t xml:space="preserve">          汎用機械器具製造業</t>
  </si>
  <si>
    <t xml:space="preserve">          生産機械器具製造業</t>
  </si>
  <si>
    <t xml:space="preserve">          業務用機械器具製造業</t>
  </si>
  <si>
    <t xml:space="preserve">          電子部品デバイス電子回路製造業</t>
  </si>
  <si>
    <t xml:space="preserve">          電気機械器具製造業</t>
  </si>
  <si>
    <t xml:space="preserve">          情報通信機械器具製造業</t>
  </si>
  <si>
    <t xml:space="preserve">          輸送用機械器具製造業</t>
  </si>
  <si>
    <t xml:space="preserve">          機械製造業 他製品</t>
  </si>
  <si>
    <t xml:space="preserve">     他製造業</t>
  </si>
  <si>
    <t>業務他 (第三次産業)</t>
  </si>
  <si>
    <t xml:space="preserve">     電気ガス熱供給水道業</t>
  </si>
  <si>
    <t xml:space="preserve">     情報通信業</t>
  </si>
  <si>
    <t xml:space="preserve">     運輸業･郵便業</t>
  </si>
  <si>
    <t xml:space="preserve">     卸売業･小売業</t>
  </si>
  <si>
    <t xml:space="preserve">     金融業･保険業</t>
  </si>
  <si>
    <t xml:space="preserve">     不動産業･物品賃貸業</t>
  </si>
  <si>
    <t xml:space="preserve">     学術研究･専門･技術サービス業</t>
  </si>
  <si>
    <t>　宿泊業</t>
  </si>
  <si>
    <t xml:space="preserve"> M76、 M77</t>
  </si>
  <si>
    <t>　 飲食店、持帰･配達飲食サービス業</t>
  </si>
  <si>
    <t xml:space="preserve">     生活関連サービス業･娯楽業</t>
  </si>
  <si>
    <t xml:space="preserve">     教育･学習支援業</t>
  </si>
  <si>
    <t xml:space="preserve">  医療業</t>
  </si>
  <si>
    <t>保険衛生+社会保険･社会福祉･介護事業</t>
  </si>
  <si>
    <t xml:space="preserve">     複合サービス事業</t>
  </si>
  <si>
    <t xml:space="preserve">     他サービス業</t>
  </si>
  <si>
    <t xml:space="preserve">     公　務 </t>
  </si>
  <si>
    <t xml:space="preserve">     分類不能･内訳推計誤差</t>
  </si>
  <si>
    <t>旅客</t>
  </si>
  <si>
    <t xml:space="preserve">      乗用車</t>
  </si>
  <si>
    <t xml:space="preserve">      バ　ス</t>
  </si>
  <si>
    <t xml:space="preserve">      二　輪　車</t>
  </si>
  <si>
    <t xml:space="preserve">      鉄　道</t>
  </si>
  <si>
    <t xml:space="preserve">      船　舶</t>
  </si>
  <si>
    <t xml:space="preserve">      航　空</t>
  </si>
  <si>
    <t>貨物</t>
  </si>
  <si>
    <t xml:space="preserve">      貨物自動車 / トラック</t>
  </si>
  <si>
    <t xml:space="preserve"> 非エネルギー利用 (最終消費内数)</t>
  </si>
  <si>
    <t xml:space="preserve">   企業･事業所他</t>
  </si>
  <si>
    <t xml:space="preserve">      農林水産鉱建設業</t>
  </si>
  <si>
    <t xml:space="preserve">      製造業 (大規模･指定業種)</t>
  </si>
  <si>
    <t xml:space="preserve">            化学繊維</t>
  </si>
  <si>
    <t xml:space="preserve">            パルプ紙板紙</t>
  </si>
  <si>
    <t xml:space="preserve">            化　学</t>
  </si>
  <si>
    <t xml:space="preserve">            石油製品</t>
  </si>
  <si>
    <t xml:space="preserve">            窯業土石</t>
  </si>
  <si>
    <t xml:space="preserve">              セメント･板ガラス･石灰</t>
  </si>
  <si>
    <t xml:space="preserve">              ガラス製品</t>
  </si>
  <si>
    <t xml:space="preserve">            鉄　鋼</t>
  </si>
  <si>
    <t xml:space="preserve">            非鉄金属地金</t>
  </si>
  <si>
    <t xml:space="preserve">            機　械</t>
  </si>
  <si>
    <t xml:space="preserve">      製造業 (中小規模他)</t>
  </si>
  <si>
    <t xml:space="preserve">      業務他 (第三次産業)</t>
  </si>
  <si>
    <t xml:space="preserve">   家　庭</t>
  </si>
  <si>
    <t xml:space="preserve">   運　輸</t>
  </si>
  <si>
    <r>
      <rPr>
        <sz val="11"/>
        <rFont val="Meiryo UI"/>
        <family val="2"/>
        <charset val="128"/>
      </rPr>
      <t>石油製品(LPG除く)</t>
    </r>
  </si>
  <si>
    <r>
      <rPr>
        <sz val="11"/>
        <rFont val="Meiryo UI"/>
        <family val="2"/>
        <charset val="128"/>
      </rPr>
      <t>農林水産業</t>
    </r>
  </si>
  <si>
    <r>
      <rPr>
        <sz val="11"/>
        <rFont val="Meiryo UI"/>
        <family val="2"/>
        <charset val="128"/>
      </rPr>
      <t>保険衛生+社会保険･社会福祉･介護事業</t>
    </r>
  </si>
  <si>
    <r>
      <rPr>
        <sz val="11"/>
        <rFont val="Meiryo UI"/>
        <family val="2"/>
        <charset val="128"/>
      </rPr>
      <t>旅客</t>
    </r>
  </si>
  <si>
    <r>
      <rPr>
        <sz val="11"/>
        <rFont val="Meiryo UI"/>
        <family val="2"/>
        <charset val="128"/>
      </rPr>
      <t>貨物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</si>
</sst>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#,##0.0_);[Red]\(#,##0.0\)"/>
    <numFmt numFmtId="166" formatCode="0.0_ ;[Red]\-0.0\ 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theme="1"/>
      <name val="Meiryo UI"/>
      <family val="2"/>
      <charset val="128"/>
    </font>
    <font>
      <sz val="11"/>
      <color rgb="FFFF0000"/>
      <name val="Meiryo UI"/>
      <family val="2"/>
      <charset val="128"/>
    </font>
    <font>
      <b/>
      <sz val="9"/>
      <color rgb="FF000000"/>
      <name val="MS P ゴシック"/>
      <family val="3"/>
      <charset val="128"/>
    </font>
    <font>
      <b/>
      <sz val="9"/>
      <color rgb="FF000000"/>
      <name val="Calibri"/>
      <family val="3"/>
      <charset val="128"/>
      <scheme val="minor"/>
    </font>
    <font>
      <sz val="9"/>
      <color rgb="FF000000"/>
      <name val="Calibri"/>
      <family val="3"/>
      <charset val="128"/>
      <scheme val="minor"/>
    </font>
    <font>
      <sz val="9"/>
      <color rgb="FF000000"/>
      <name val="MS P ゴシック"/>
      <family val="3"/>
      <charset val="128"/>
    </font>
    <font>
      <i/>
      <sz val="11"/>
      <name val="Meiryo UI"/>
      <family val="2"/>
      <charset val="128"/>
    </font>
    <font>
      <i/>
      <sz val="11"/>
      <color rgb="FFFF0000"/>
      <name val="Meiryo UI"/>
      <family val="2"/>
      <charset val="128"/>
    </font>
    <font>
      <sz val="11"/>
      <name val="Meiryo UI"/>
      <family val="2"/>
      <charset val="128"/>
    </font>
  </fonts>
  <fills count="1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D8F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4">
    <xf numFmtId="0" fontId="0" fillId="0" borderId="0" xfId="0"/>
    <xf numFmtId="0" fontId="4" fillId="0" borderId="0" xfId="0" applyFont="1" applyAlignment="1">
      <alignment vertical="center"/>
    </xf>
    <xf numFmtId="38" fontId="4" fillId="0" borderId="0" xfId="1" applyFont="1" applyAlignment="1">
      <alignment vertical="center"/>
    </xf>
    <xf numFmtId="9" fontId="4" fillId="0" borderId="0" xfId="2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4" fillId="6" borderId="0" xfId="0" applyNumberFormat="1" applyFont="1" applyFill="1" applyAlignment="1">
      <alignment vertical="center"/>
    </xf>
    <xf numFmtId="0" fontId="4" fillId="0" borderId="2" xfId="0" applyFont="1" applyBorder="1" applyAlignment="1">
      <alignment vertical="center"/>
    </xf>
    <xf numFmtId="38" fontId="4" fillId="2" borderId="1" xfId="1" applyFont="1" applyFill="1" applyBorder="1" applyAlignment="1">
      <alignment vertical="center"/>
    </xf>
    <xf numFmtId="38" fontId="4" fillId="2" borderId="0" xfId="1" applyFont="1" applyFill="1" applyBorder="1" applyAlignment="1">
      <alignment vertical="center"/>
    </xf>
    <xf numFmtId="38" fontId="4" fillId="0" borderId="0" xfId="1" applyFont="1" applyFill="1" applyAlignment="1">
      <alignment vertical="center"/>
    </xf>
    <xf numFmtId="38" fontId="4" fillId="3" borderId="1" xfId="1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38" fontId="4" fillId="6" borderId="1" xfId="1" applyFont="1" applyFill="1" applyBorder="1" applyAlignment="1">
      <alignment vertical="center"/>
    </xf>
    <xf numFmtId="38" fontId="4" fillId="6" borderId="0" xfId="1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164" fontId="4" fillId="0" borderId="1" xfId="0" quotePrefix="1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38" fontId="4" fillId="7" borderId="0" xfId="1" applyFont="1" applyFill="1" applyAlignment="1">
      <alignment vertical="center"/>
    </xf>
    <xf numFmtId="164" fontId="4" fillId="8" borderId="3" xfId="0" applyNumberFormat="1" applyFont="1" applyFill="1" applyBorder="1" applyAlignment="1">
      <alignment vertical="center"/>
    </xf>
    <xf numFmtId="164" fontId="4" fillId="8" borderId="1" xfId="0" applyNumberFormat="1" applyFont="1" applyFill="1" applyBorder="1" applyAlignment="1">
      <alignment vertical="center"/>
    </xf>
    <xf numFmtId="164" fontId="4" fillId="8" borderId="1" xfId="0" quotePrefix="1" applyNumberFormat="1" applyFont="1" applyFill="1" applyBorder="1" applyAlignment="1">
      <alignment horizontal="left" vertical="center"/>
    </xf>
    <xf numFmtId="38" fontId="4" fillId="9" borderId="0" xfId="1" applyFont="1" applyFill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10" borderId="3" xfId="0" applyNumberFormat="1" applyFont="1" applyFill="1" applyBorder="1" applyAlignment="1">
      <alignment vertical="center"/>
    </xf>
    <xf numFmtId="164" fontId="4" fillId="10" borderId="1" xfId="0" applyNumberFormat="1" applyFont="1" applyFill="1" applyBorder="1" applyAlignment="1">
      <alignment horizontal="left" vertical="center"/>
    </xf>
    <xf numFmtId="164" fontId="4" fillId="10" borderId="1" xfId="0" quotePrefix="1" applyNumberFormat="1" applyFont="1" applyFill="1" applyBorder="1" applyAlignment="1">
      <alignment horizontal="left" vertical="center"/>
    </xf>
    <xf numFmtId="38" fontId="4" fillId="11" borderId="0" xfId="1" applyFont="1" applyFill="1" applyAlignment="1">
      <alignment vertical="center"/>
    </xf>
    <xf numFmtId="9" fontId="4" fillId="0" borderId="0" xfId="2" applyFont="1" applyFill="1" applyAlignment="1">
      <alignment vertical="center"/>
    </xf>
    <xf numFmtId="164" fontId="4" fillId="10" borderId="1" xfId="0" applyNumberFormat="1" applyFont="1" applyFill="1" applyBorder="1" applyAlignment="1">
      <alignment vertical="center"/>
    </xf>
    <xf numFmtId="164" fontId="4" fillId="12" borderId="3" xfId="0" applyNumberFormat="1" applyFont="1" applyFill="1" applyBorder="1" applyAlignment="1">
      <alignment vertical="center"/>
    </xf>
    <xf numFmtId="164" fontId="4" fillId="12" borderId="1" xfId="0" quotePrefix="1" applyNumberFormat="1" applyFont="1" applyFill="1" applyBorder="1" applyAlignment="1">
      <alignment horizontal="left" vertical="center"/>
    </xf>
    <xf numFmtId="164" fontId="4" fillId="12" borderId="1" xfId="0" applyNumberFormat="1" applyFont="1" applyFill="1" applyBorder="1" applyAlignment="1">
      <alignment vertical="center"/>
    </xf>
    <xf numFmtId="38" fontId="4" fillId="13" borderId="0" xfId="1" applyFont="1" applyFill="1" applyAlignment="1">
      <alignment vertical="center"/>
    </xf>
    <xf numFmtId="164" fontId="4" fillId="12" borderId="1" xfId="0" applyNumberFormat="1" applyFont="1" applyFill="1" applyBorder="1" applyAlignment="1">
      <alignment horizontal="left" vertical="center"/>
    </xf>
    <xf numFmtId="164" fontId="4" fillId="0" borderId="1" xfId="0" applyNumberFormat="1" applyFont="1" applyBorder="1" applyAlignment="1">
      <alignment vertical="center"/>
    </xf>
    <xf numFmtId="0" fontId="5" fillId="0" borderId="0" xfId="1" applyNumberFormat="1" applyFont="1" applyAlignment="1">
      <alignment vertical="center"/>
    </xf>
    <xf numFmtId="164" fontId="4" fillId="14" borderId="3" xfId="0" applyNumberFormat="1" applyFont="1" applyFill="1" applyBorder="1" applyAlignment="1">
      <alignment vertical="center"/>
    </xf>
    <xf numFmtId="164" fontId="4" fillId="14" borderId="1" xfId="0" quotePrefix="1" applyNumberFormat="1" applyFont="1" applyFill="1" applyBorder="1" applyAlignment="1">
      <alignment horizontal="left" vertical="center"/>
    </xf>
    <xf numFmtId="38" fontId="4" fillId="5" borderId="0" xfId="1" applyFont="1" applyFill="1" applyAlignment="1">
      <alignment vertical="center"/>
    </xf>
    <xf numFmtId="164" fontId="4" fillId="15" borderId="3" xfId="0" applyNumberFormat="1" applyFont="1" applyFill="1" applyBorder="1" applyAlignment="1">
      <alignment vertical="center"/>
    </xf>
    <xf numFmtId="164" fontId="4" fillId="15" borderId="1" xfId="0" applyNumberFormat="1" applyFont="1" applyFill="1" applyBorder="1" applyAlignment="1">
      <alignment vertical="center"/>
    </xf>
    <xf numFmtId="38" fontId="4" fillId="3" borderId="0" xfId="1" applyFont="1" applyFill="1" applyAlignment="1">
      <alignment vertical="center"/>
    </xf>
    <xf numFmtId="164" fontId="4" fillId="15" borderId="1" xfId="0" applyNumberFormat="1" applyFont="1" applyFill="1" applyBorder="1" applyAlignment="1">
      <alignment horizontal="left" vertical="center"/>
    </xf>
    <xf numFmtId="164" fontId="4" fillId="15" borderId="1" xfId="0" quotePrefix="1" applyNumberFormat="1" applyFont="1" applyFill="1" applyBorder="1" applyAlignment="1">
      <alignment horizontal="left" vertical="center"/>
    </xf>
    <xf numFmtId="164" fontId="4" fillId="16" borderId="3" xfId="0" applyNumberFormat="1" applyFont="1" applyFill="1" applyBorder="1" applyAlignment="1">
      <alignment vertical="center"/>
    </xf>
    <xf numFmtId="164" fontId="4" fillId="16" borderId="1" xfId="0" applyNumberFormat="1" applyFont="1" applyFill="1" applyBorder="1" applyAlignment="1">
      <alignment vertical="center"/>
    </xf>
    <xf numFmtId="164" fontId="4" fillId="16" borderId="1" xfId="0" quotePrefix="1" applyNumberFormat="1" applyFont="1" applyFill="1" applyBorder="1" applyAlignment="1">
      <alignment horizontal="left" vertical="center"/>
    </xf>
    <xf numFmtId="164" fontId="4" fillId="17" borderId="3" xfId="0" applyNumberFormat="1" applyFont="1" applyFill="1" applyBorder="1" applyAlignment="1">
      <alignment vertical="center"/>
    </xf>
    <xf numFmtId="164" fontId="4" fillId="17" borderId="1" xfId="0" applyNumberFormat="1" applyFont="1" applyFill="1" applyBorder="1" applyAlignment="1">
      <alignment vertical="center"/>
    </xf>
    <xf numFmtId="164" fontId="4" fillId="17" borderId="1" xfId="0" applyNumberFormat="1" applyFont="1" applyFill="1" applyBorder="1" applyAlignment="1">
      <alignment horizontal="left" vertical="center"/>
    </xf>
    <xf numFmtId="164" fontId="4" fillId="17" borderId="1" xfId="0" quotePrefix="1" applyNumberFormat="1" applyFont="1" applyFill="1" applyBorder="1" applyAlignment="1">
      <alignment horizontal="left" vertical="center"/>
    </xf>
    <xf numFmtId="165" fontId="4" fillId="0" borderId="0" xfId="1" applyNumberFormat="1" applyFont="1" applyFill="1" applyAlignment="1">
      <alignment vertical="center"/>
    </xf>
    <xf numFmtId="165" fontId="4" fillId="7" borderId="0" xfId="1" applyNumberFormat="1" applyFont="1" applyFill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6" fontId="4" fillId="0" borderId="0" xfId="1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164" fontId="11" fillId="2" borderId="1" xfId="0" applyNumberFormat="1" applyFont="1" applyFill="1" applyBorder="1" applyAlignment="1">
      <alignment vertical="center"/>
    </xf>
    <xf numFmtId="38" fontId="10" fillId="2" borderId="1" xfId="1" applyFont="1" applyFill="1" applyBorder="1" applyAlignment="1">
      <alignment vertical="center"/>
    </xf>
    <xf numFmtId="38" fontId="10" fillId="2" borderId="0" xfId="1" applyFont="1" applyFill="1" applyBorder="1" applyAlignment="1">
      <alignment vertical="center"/>
    </xf>
    <xf numFmtId="38" fontId="10" fillId="0" borderId="0" xfId="1" applyFont="1" applyFill="1" applyAlignment="1">
      <alignment vertical="center"/>
    </xf>
    <xf numFmtId="164" fontId="11" fillId="3" borderId="1" xfId="0" applyNumberFormat="1" applyFont="1" applyFill="1" applyBorder="1" applyAlignment="1">
      <alignment vertical="center"/>
    </xf>
    <xf numFmtId="38" fontId="10" fillId="3" borderId="1" xfId="1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164" fontId="10" fillId="6" borderId="1" xfId="0" applyNumberFormat="1" applyFont="1" applyFill="1" applyBorder="1" applyAlignment="1">
      <alignment vertical="center"/>
    </xf>
    <xf numFmtId="38" fontId="10" fillId="6" borderId="1" xfId="1" applyFont="1" applyFill="1" applyBorder="1" applyAlignment="1">
      <alignment vertical="center"/>
    </xf>
    <xf numFmtId="38" fontId="10" fillId="6" borderId="0" xfId="1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164" fontId="12" fillId="0" borderId="2" xfId="0" quotePrefix="1" applyNumberFormat="1" applyFont="1" applyBorder="1" applyAlignment="1">
      <alignment horizontal="left" vertical="center"/>
    </xf>
    <xf numFmtId="38" fontId="12" fillId="2" borderId="1" xfId="1" quotePrefix="1" applyFont="1" applyFill="1" applyBorder="1" applyAlignment="1">
      <alignment horizontal="left" vertical="center"/>
    </xf>
    <xf numFmtId="38" fontId="12" fillId="2" borderId="1" xfId="1" applyFont="1" applyFill="1" applyBorder="1" applyAlignment="1">
      <alignment vertical="center"/>
    </xf>
    <xf numFmtId="38" fontId="12" fillId="2" borderId="0" xfId="1" applyFont="1" applyFill="1" applyBorder="1" applyAlignment="1">
      <alignment vertical="center"/>
    </xf>
    <xf numFmtId="38" fontId="12" fillId="3" borderId="1" xfId="1" quotePrefix="1" applyFont="1" applyFill="1" applyBorder="1" applyAlignment="1">
      <alignment horizontal="left" vertical="center"/>
    </xf>
    <xf numFmtId="38" fontId="12" fillId="3" borderId="1" xfId="1" applyFont="1" applyFill="1" applyBorder="1" applyAlignment="1">
      <alignment vertical="center"/>
    </xf>
    <xf numFmtId="38" fontId="12" fillId="6" borderId="1" xfId="1" quotePrefix="1" applyFont="1" applyFill="1" applyBorder="1" applyAlignment="1">
      <alignment horizontal="left" vertical="center"/>
    </xf>
    <xf numFmtId="38" fontId="12" fillId="6" borderId="1" xfId="1" applyFont="1" applyFill="1" applyBorder="1" applyAlignment="1">
      <alignment vertical="center"/>
    </xf>
    <xf numFmtId="164" fontId="12" fillId="0" borderId="1" xfId="0" quotePrefix="1" applyNumberFormat="1" applyFont="1" applyBorder="1" applyAlignment="1">
      <alignment horizontal="left" vertical="center"/>
    </xf>
    <xf numFmtId="164" fontId="12" fillId="0" borderId="1" xfId="0" applyNumberFormat="1" applyFont="1" applyBorder="1" applyAlignment="1">
      <alignment vertical="center"/>
    </xf>
    <xf numFmtId="164" fontId="12" fillId="8" borderId="1" xfId="0" quotePrefix="1" applyNumberFormat="1" applyFont="1" applyFill="1" applyBorder="1" applyAlignment="1">
      <alignment horizontal="left" vertical="center"/>
    </xf>
    <xf numFmtId="164" fontId="12" fillId="10" borderId="1" xfId="0" quotePrefix="1" applyNumberFormat="1" applyFont="1" applyFill="1" applyBorder="1" applyAlignment="1">
      <alignment horizontal="left" vertical="center"/>
    </xf>
    <xf numFmtId="164" fontId="12" fillId="12" borderId="1" xfId="0" quotePrefix="1" applyNumberFormat="1" applyFont="1" applyFill="1" applyBorder="1" applyAlignment="1">
      <alignment horizontal="left" vertical="center"/>
    </xf>
    <xf numFmtId="164" fontId="12" fillId="14" borderId="1" xfId="0" quotePrefix="1" applyNumberFormat="1" applyFont="1" applyFill="1" applyBorder="1" applyAlignment="1">
      <alignment horizontal="left" vertical="center"/>
    </xf>
    <xf numFmtId="164" fontId="12" fillId="15" borderId="1" xfId="0" applyNumberFormat="1" applyFont="1" applyFill="1" applyBorder="1" applyAlignment="1">
      <alignment vertical="center"/>
    </xf>
    <xf numFmtId="164" fontId="12" fillId="15" borderId="1" xfId="0" quotePrefix="1" applyNumberFormat="1" applyFont="1" applyFill="1" applyBorder="1" applyAlignment="1">
      <alignment horizontal="left" vertical="center"/>
    </xf>
    <xf numFmtId="164" fontId="12" fillId="16" borderId="1" xfId="0" applyNumberFormat="1" applyFont="1" applyFill="1" applyBorder="1" applyAlignment="1">
      <alignment horizontal="left" vertical="center"/>
    </xf>
    <xf numFmtId="164" fontId="12" fillId="16" borderId="1" xfId="0" quotePrefix="1" applyNumberFormat="1" applyFont="1" applyFill="1" applyBorder="1" applyAlignment="1">
      <alignment horizontal="left" vertical="center"/>
    </xf>
    <xf numFmtId="164" fontId="12" fillId="17" borderId="1" xfId="0" quotePrefix="1" applyNumberFormat="1" applyFont="1" applyFill="1" applyBorder="1" applyAlignment="1">
      <alignment horizontal="left" vertical="center"/>
    </xf>
    <xf numFmtId="164" fontId="12" fillId="17" borderId="1" xfId="0" applyNumberFormat="1" applyFont="1" applyFill="1" applyBorder="1" applyAlignment="1">
      <alignment vertical="center"/>
    </xf>
    <xf numFmtId="38" fontId="5" fillId="7" borderId="0" xfId="1" applyFont="1" applyFill="1" applyAlignment="1">
      <alignment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F67EF-BB0B-8747-A8EA-4A5B9C2C00D7}">
  <sheetPr>
    <tabColor theme="4" tint="0.79998168889431442"/>
  </sheetPr>
  <dimension ref="A1:DY97"/>
  <sheetViews>
    <sheetView tabSelected="1" topLeftCell="A22" zoomScaleNormal="100" workbookViewId="0">
      <selection activeCell="N40" sqref="N40"/>
    </sheetView>
  </sheetViews>
  <sheetFormatPr baseColWidth="10" defaultColWidth="8.6640625" defaultRowHeight="16" outlineLevelCol="1"/>
  <cols>
    <col min="1" max="3" width="7.6640625" style="1" customWidth="1"/>
    <col min="4" max="4" width="38.83203125" style="1" customWidth="1"/>
    <col min="5" max="6" width="9.6640625" style="2" customWidth="1"/>
    <col min="7" max="7" width="11.83203125" style="2" customWidth="1"/>
    <col min="8" max="9" width="9.6640625" style="2" customWidth="1"/>
    <col min="10" max="10" width="11.83203125" style="2" customWidth="1"/>
    <col min="11" max="11" width="9.6640625" style="2" customWidth="1"/>
    <col min="12" max="12" width="11.83203125" style="2" customWidth="1"/>
    <col min="13" max="13" width="9.6640625" style="2" customWidth="1"/>
    <col min="14" max="14" width="15.83203125" style="2" customWidth="1"/>
    <col min="15" max="15" width="19.5" style="2" bestFit="1" customWidth="1"/>
    <col min="16" max="16" width="22.1640625" style="2" bestFit="1" customWidth="1"/>
    <col min="17" max="17" width="22.1640625" style="2" customWidth="1"/>
    <col min="18" max="18" width="8.6640625" style="2"/>
    <col min="19" max="25" width="9.6640625" style="2" customWidth="1" outlineLevel="1"/>
    <col min="26" max="26" width="11.83203125" style="2" customWidth="1" outlineLevel="1"/>
    <col min="27" max="28" width="9.6640625" style="2" customWidth="1" outlineLevel="1"/>
    <col min="29" max="29" width="11.83203125" style="2" customWidth="1" outlineLevel="1"/>
    <col min="30" max="30" width="17.1640625" style="2" customWidth="1"/>
    <col min="31" max="32" width="20.5" style="2" customWidth="1"/>
    <col min="33" max="49" width="11.1640625" style="2" customWidth="1"/>
    <col min="50" max="50" width="8.6640625" style="2" customWidth="1"/>
    <col min="51" max="55" width="8.6640625" style="1" customWidth="1" outlineLevel="1"/>
    <col min="56" max="56" width="11.83203125" style="1" customWidth="1" outlineLevel="1"/>
    <col min="57" max="57" width="8.6640625" style="1" customWidth="1" outlineLevel="1"/>
    <col min="58" max="62" width="11.83203125" style="1" customWidth="1" outlineLevel="1"/>
    <col min="63" max="63" width="17.1640625" style="2" customWidth="1"/>
    <col min="64" max="67" width="13" style="2" customWidth="1"/>
    <col min="68" max="68" width="8.6640625" style="1" customWidth="1"/>
    <col min="69" max="77" width="9.6640625" style="2" customWidth="1"/>
    <col min="78" max="78" width="18.1640625" style="2" customWidth="1"/>
    <col min="79" max="80" width="22.1640625" style="2" customWidth="1"/>
    <col min="81" max="81" width="8.6640625" style="1" customWidth="1"/>
    <col min="82" max="91" width="9.6640625" style="2" customWidth="1"/>
    <col min="92" max="92" width="31.1640625" style="2" customWidth="1"/>
    <col min="93" max="93" width="12.33203125" style="2" customWidth="1"/>
    <col min="94" max="95" width="16.1640625" style="2" customWidth="1"/>
    <col min="96" max="105" width="13.1640625" style="2" customWidth="1"/>
    <col min="106" max="106" width="18" style="2" bestFit="1" customWidth="1"/>
    <col min="107" max="107" width="21.83203125" style="2" bestFit="1" customWidth="1"/>
    <col min="108" max="108" width="16.1640625" style="2" customWidth="1"/>
    <col min="109" max="109" width="33.83203125" style="2" bestFit="1" customWidth="1"/>
    <col min="110" max="112" width="16.1640625" style="2" customWidth="1"/>
    <col min="113" max="123" width="8.6640625" style="1"/>
    <col min="124" max="124" width="18" style="1" bestFit="1" customWidth="1"/>
    <col min="125" max="125" width="21.83203125" style="1" bestFit="1" customWidth="1"/>
    <col min="126" max="126" width="12" style="1" bestFit="1" customWidth="1"/>
    <col min="127" max="127" width="13.1640625" style="1" customWidth="1"/>
    <col min="128" max="128" width="8.6640625" style="1"/>
    <col min="129" max="129" width="16.1640625" style="2" customWidth="1"/>
    <col min="130" max="16384" width="8.6640625" style="1"/>
  </cols>
  <sheetData>
    <row r="1" spans="1:129">
      <c r="D1" s="1">
        <f>COLUMN()-3</f>
        <v>1</v>
      </c>
      <c r="E1" s="1">
        <f t="shared" ref="E1:CL1" si="0">COLUMN()-3</f>
        <v>2</v>
      </c>
      <c r="F1" s="1">
        <f t="shared" si="0"/>
        <v>3</v>
      </c>
      <c r="G1" s="1">
        <f t="shared" si="0"/>
        <v>4</v>
      </c>
      <c r="H1" s="1">
        <f t="shared" si="0"/>
        <v>5</v>
      </c>
      <c r="I1" s="1">
        <f t="shared" si="0"/>
        <v>6</v>
      </c>
      <c r="J1" s="1">
        <f t="shared" si="0"/>
        <v>7</v>
      </c>
      <c r="K1" s="1">
        <f t="shared" si="0"/>
        <v>8</v>
      </c>
      <c r="L1" s="1">
        <f t="shared" si="0"/>
        <v>9</v>
      </c>
      <c r="M1" s="1">
        <f t="shared" si="0"/>
        <v>10</v>
      </c>
      <c r="N1" s="1">
        <f t="shared" si="0"/>
        <v>11</v>
      </c>
      <c r="O1" s="1">
        <f t="shared" si="0"/>
        <v>12</v>
      </c>
      <c r="P1" s="1">
        <f t="shared" si="0"/>
        <v>13</v>
      </c>
      <c r="Q1" s="1">
        <f t="shared" si="0"/>
        <v>14</v>
      </c>
      <c r="R1" s="1">
        <f t="shared" si="0"/>
        <v>15</v>
      </c>
      <c r="S1" s="1">
        <f t="shared" si="0"/>
        <v>16</v>
      </c>
      <c r="T1" s="1">
        <f t="shared" si="0"/>
        <v>17</v>
      </c>
      <c r="U1" s="1">
        <f t="shared" si="0"/>
        <v>18</v>
      </c>
      <c r="V1" s="1">
        <f t="shared" si="0"/>
        <v>19</v>
      </c>
      <c r="W1" s="1">
        <f t="shared" si="0"/>
        <v>20</v>
      </c>
      <c r="X1" s="1">
        <f t="shared" si="0"/>
        <v>21</v>
      </c>
      <c r="Y1" s="1">
        <f t="shared" si="0"/>
        <v>22</v>
      </c>
      <c r="Z1" s="1">
        <f t="shared" si="0"/>
        <v>23</v>
      </c>
      <c r="AA1" s="1">
        <f t="shared" si="0"/>
        <v>24</v>
      </c>
      <c r="AB1" s="1">
        <f t="shared" si="0"/>
        <v>25</v>
      </c>
      <c r="AC1" s="2">
        <f t="shared" si="0"/>
        <v>26</v>
      </c>
      <c r="AD1" s="2">
        <f t="shared" si="0"/>
        <v>27</v>
      </c>
      <c r="AE1" s="2">
        <f t="shared" si="0"/>
        <v>28</v>
      </c>
      <c r="AF1" s="2">
        <f t="shared" si="0"/>
        <v>29</v>
      </c>
      <c r="AG1" s="2">
        <f t="shared" si="0"/>
        <v>30</v>
      </c>
      <c r="AH1" s="2">
        <f t="shared" si="0"/>
        <v>31</v>
      </c>
      <c r="AI1" s="2">
        <f t="shared" si="0"/>
        <v>32</v>
      </c>
      <c r="AJ1" s="2">
        <f t="shared" si="0"/>
        <v>33</v>
      </c>
      <c r="AK1" s="2">
        <f t="shared" si="0"/>
        <v>34</v>
      </c>
      <c r="AL1" s="2">
        <f t="shared" si="0"/>
        <v>35</v>
      </c>
      <c r="AM1" s="2">
        <f t="shared" si="0"/>
        <v>36</v>
      </c>
      <c r="AN1" s="2">
        <f t="shared" si="0"/>
        <v>37</v>
      </c>
      <c r="AO1" s="2">
        <f t="shared" si="0"/>
        <v>38</v>
      </c>
      <c r="AP1" s="2">
        <f t="shared" si="0"/>
        <v>39</v>
      </c>
      <c r="AQ1" s="2">
        <f t="shared" si="0"/>
        <v>40</v>
      </c>
      <c r="AR1" s="2">
        <f t="shared" si="0"/>
        <v>41</v>
      </c>
      <c r="AS1" s="2">
        <f t="shared" si="0"/>
        <v>42</v>
      </c>
      <c r="AT1" s="2">
        <f t="shared" si="0"/>
        <v>43</v>
      </c>
      <c r="AU1" s="2">
        <f t="shared" si="0"/>
        <v>44</v>
      </c>
      <c r="AV1" s="2">
        <f t="shared" si="0"/>
        <v>45</v>
      </c>
      <c r="AW1" s="2">
        <f t="shared" si="0"/>
        <v>46</v>
      </c>
      <c r="AX1" s="2">
        <f t="shared" si="0"/>
        <v>47</v>
      </c>
      <c r="AY1" s="2">
        <f t="shared" si="0"/>
        <v>48</v>
      </c>
      <c r="AZ1" s="2">
        <f t="shared" si="0"/>
        <v>49</v>
      </c>
      <c r="BA1" s="2">
        <f t="shared" si="0"/>
        <v>50</v>
      </c>
      <c r="BB1" s="2">
        <f t="shared" si="0"/>
        <v>51</v>
      </c>
      <c r="BC1" s="2">
        <f t="shared" si="0"/>
        <v>52</v>
      </c>
      <c r="BD1" s="2">
        <f t="shared" si="0"/>
        <v>53</v>
      </c>
      <c r="BE1" s="2">
        <f t="shared" si="0"/>
        <v>54</v>
      </c>
      <c r="BF1" s="2">
        <f t="shared" si="0"/>
        <v>55</v>
      </c>
      <c r="BG1" s="2">
        <f t="shared" si="0"/>
        <v>56</v>
      </c>
      <c r="BH1" s="2">
        <f t="shared" si="0"/>
        <v>57</v>
      </c>
      <c r="BI1" s="2">
        <f t="shared" si="0"/>
        <v>58</v>
      </c>
      <c r="BJ1" s="2">
        <f t="shared" si="0"/>
        <v>59</v>
      </c>
      <c r="BK1" s="2">
        <f t="shared" si="0"/>
        <v>60</v>
      </c>
      <c r="BL1" s="2">
        <f t="shared" si="0"/>
        <v>61</v>
      </c>
      <c r="BM1" s="2">
        <f t="shared" si="0"/>
        <v>62</v>
      </c>
      <c r="BN1" s="2">
        <f t="shared" si="0"/>
        <v>63</v>
      </c>
      <c r="BO1" s="2">
        <f t="shared" si="0"/>
        <v>64</v>
      </c>
      <c r="BP1" s="2">
        <f t="shared" si="0"/>
        <v>65</v>
      </c>
      <c r="BQ1" s="2">
        <f t="shared" si="0"/>
        <v>66</v>
      </c>
      <c r="BR1" s="2">
        <f t="shared" si="0"/>
        <v>67</v>
      </c>
      <c r="BS1" s="2">
        <f>COLUMN()-3</f>
        <v>68</v>
      </c>
      <c r="BT1" s="1">
        <f t="shared" si="0"/>
        <v>69</v>
      </c>
      <c r="BU1" s="1">
        <f t="shared" si="0"/>
        <v>70</v>
      </c>
      <c r="BV1" s="1">
        <f t="shared" si="0"/>
        <v>71</v>
      </c>
      <c r="BW1" s="1">
        <f t="shared" si="0"/>
        <v>72</v>
      </c>
      <c r="BX1" s="1">
        <f t="shared" si="0"/>
        <v>73</v>
      </c>
      <c r="BY1" s="1">
        <f t="shared" si="0"/>
        <v>74</v>
      </c>
      <c r="BZ1" s="1">
        <f t="shared" si="0"/>
        <v>75</v>
      </c>
      <c r="CA1" s="1">
        <f t="shared" si="0"/>
        <v>76</v>
      </c>
      <c r="CB1" s="1">
        <f t="shared" si="0"/>
        <v>77</v>
      </c>
      <c r="CC1" s="1">
        <f t="shared" si="0"/>
        <v>78</v>
      </c>
      <c r="CD1" s="1">
        <f t="shared" si="0"/>
        <v>79</v>
      </c>
      <c r="CE1" s="1">
        <f t="shared" si="0"/>
        <v>80</v>
      </c>
      <c r="CF1" s="1">
        <f t="shared" si="0"/>
        <v>81</v>
      </c>
      <c r="CG1" s="1">
        <f t="shared" si="0"/>
        <v>82</v>
      </c>
      <c r="CH1" s="1">
        <f t="shared" si="0"/>
        <v>83</v>
      </c>
      <c r="CI1" s="1">
        <f t="shared" si="0"/>
        <v>84</v>
      </c>
      <c r="CJ1" s="1">
        <f t="shared" si="0"/>
        <v>85</v>
      </c>
      <c r="CK1" s="2">
        <f t="shared" si="0"/>
        <v>86</v>
      </c>
      <c r="CL1" s="1">
        <f t="shared" si="0"/>
        <v>87</v>
      </c>
      <c r="CM1" s="1">
        <f t="shared" ref="CM1:DY1" si="1">COLUMN()-3</f>
        <v>88</v>
      </c>
      <c r="CN1" s="1">
        <f t="shared" si="1"/>
        <v>89</v>
      </c>
      <c r="CO1" s="1">
        <f t="shared" si="1"/>
        <v>90</v>
      </c>
      <c r="CP1" s="1">
        <f t="shared" si="1"/>
        <v>91</v>
      </c>
      <c r="CQ1" s="1">
        <f t="shared" si="1"/>
        <v>92</v>
      </c>
      <c r="CR1" s="1">
        <f t="shared" si="1"/>
        <v>93</v>
      </c>
      <c r="CS1" s="1">
        <f t="shared" si="1"/>
        <v>94</v>
      </c>
      <c r="CT1" s="1">
        <f t="shared" si="1"/>
        <v>95</v>
      </c>
      <c r="CU1" s="1">
        <f t="shared" si="1"/>
        <v>96</v>
      </c>
      <c r="CV1" s="1">
        <f t="shared" si="1"/>
        <v>97</v>
      </c>
      <c r="CW1" s="1">
        <f t="shared" si="1"/>
        <v>98</v>
      </c>
      <c r="CX1" s="1">
        <f t="shared" si="1"/>
        <v>99</v>
      </c>
      <c r="CY1" s="1">
        <f t="shared" si="1"/>
        <v>100</v>
      </c>
      <c r="CZ1" s="1">
        <f t="shared" si="1"/>
        <v>101</v>
      </c>
      <c r="DA1" s="1">
        <f t="shared" si="1"/>
        <v>102</v>
      </c>
      <c r="DB1" s="1">
        <f t="shared" si="1"/>
        <v>103</v>
      </c>
      <c r="DC1" s="1">
        <f t="shared" si="1"/>
        <v>104</v>
      </c>
      <c r="DD1" s="1">
        <f t="shared" si="1"/>
        <v>105</v>
      </c>
      <c r="DE1" s="1">
        <f t="shared" si="1"/>
        <v>106</v>
      </c>
      <c r="DF1" s="1">
        <f t="shared" si="1"/>
        <v>107</v>
      </c>
      <c r="DG1" s="1">
        <f t="shared" si="1"/>
        <v>108</v>
      </c>
      <c r="DH1" s="1">
        <f t="shared" si="1"/>
        <v>109</v>
      </c>
      <c r="DI1" s="1">
        <f t="shared" si="1"/>
        <v>110</v>
      </c>
      <c r="DJ1" s="1">
        <f t="shared" si="1"/>
        <v>111</v>
      </c>
      <c r="DK1" s="1">
        <f t="shared" si="1"/>
        <v>112</v>
      </c>
      <c r="DL1" s="1">
        <f t="shared" si="1"/>
        <v>113</v>
      </c>
      <c r="DM1" s="1">
        <f t="shared" si="1"/>
        <v>114</v>
      </c>
      <c r="DN1" s="1">
        <f t="shared" si="1"/>
        <v>115</v>
      </c>
      <c r="DO1" s="1">
        <f t="shared" si="1"/>
        <v>116</v>
      </c>
      <c r="DP1" s="1">
        <f t="shared" si="1"/>
        <v>117</v>
      </c>
      <c r="DQ1" s="1">
        <f t="shared" si="1"/>
        <v>118</v>
      </c>
      <c r="DR1" s="1">
        <f t="shared" si="1"/>
        <v>119</v>
      </c>
      <c r="DS1" s="1">
        <f t="shared" si="1"/>
        <v>120</v>
      </c>
      <c r="DT1" s="1">
        <f t="shared" si="1"/>
        <v>121</v>
      </c>
      <c r="DU1" s="1">
        <f t="shared" si="1"/>
        <v>122</v>
      </c>
      <c r="DV1" s="1">
        <f t="shared" si="1"/>
        <v>123</v>
      </c>
      <c r="DW1" s="1">
        <f t="shared" si="1"/>
        <v>124</v>
      </c>
      <c r="DX1" s="1">
        <f t="shared" si="1"/>
        <v>125</v>
      </c>
      <c r="DY1" s="1">
        <f t="shared" si="1"/>
        <v>126</v>
      </c>
    </row>
    <row r="2" spans="1:129">
      <c r="E2" s="1" t="s">
        <v>294</v>
      </c>
      <c r="F2" s="1" t="s">
        <v>294</v>
      </c>
      <c r="G2" s="1" t="s">
        <v>295</v>
      </c>
      <c r="H2" s="1" t="s">
        <v>295</v>
      </c>
      <c r="I2" s="1" t="s">
        <v>296</v>
      </c>
      <c r="J2" s="1" t="s">
        <v>296</v>
      </c>
      <c r="K2" s="1" t="s">
        <v>297</v>
      </c>
      <c r="L2" s="1" t="s">
        <v>298</v>
      </c>
      <c r="M2" s="1" t="s">
        <v>208</v>
      </c>
      <c r="N2" s="1"/>
      <c r="O2" s="1"/>
      <c r="P2" s="1" t="s">
        <v>0</v>
      </c>
      <c r="Q2" s="1"/>
      <c r="R2" s="1"/>
      <c r="S2" s="1" t="s">
        <v>294</v>
      </c>
      <c r="T2" s="1" t="s">
        <v>294</v>
      </c>
      <c r="U2" s="1" t="s">
        <v>295</v>
      </c>
      <c r="V2" s="1" t="s">
        <v>295</v>
      </c>
      <c r="W2" s="1" t="s">
        <v>296</v>
      </c>
      <c r="X2" s="1" t="s">
        <v>296</v>
      </c>
      <c r="Y2" s="1" t="s">
        <v>297</v>
      </c>
      <c r="Z2" s="1" t="s">
        <v>298</v>
      </c>
      <c r="AA2" s="1" t="s">
        <v>208</v>
      </c>
      <c r="AB2" s="1" t="s">
        <v>299</v>
      </c>
      <c r="AE2" s="2" t="s">
        <v>0</v>
      </c>
      <c r="AF2" s="1"/>
      <c r="AG2" s="1" t="s">
        <v>294</v>
      </c>
      <c r="AH2" s="1" t="s">
        <v>294</v>
      </c>
      <c r="AI2" s="1" t="s">
        <v>295</v>
      </c>
      <c r="AJ2" s="1" t="s">
        <v>295</v>
      </c>
      <c r="AK2" s="1" t="s">
        <v>296</v>
      </c>
      <c r="AL2" s="1" t="s">
        <v>296</v>
      </c>
      <c r="AM2" s="1" t="s">
        <v>297</v>
      </c>
      <c r="AN2" s="1" t="s">
        <v>298</v>
      </c>
      <c r="AO2" s="1" t="s">
        <v>208</v>
      </c>
      <c r="AP2" s="1" t="s">
        <v>299</v>
      </c>
      <c r="AQ2" s="1" t="s">
        <v>1</v>
      </c>
      <c r="AR2" s="1"/>
      <c r="AS2" s="1"/>
      <c r="AT2" s="1" t="s">
        <v>2</v>
      </c>
      <c r="AU2" s="1" t="s">
        <v>3</v>
      </c>
      <c r="AV2" s="1" t="s">
        <v>300</v>
      </c>
      <c r="AW2" s="1" t="s">
        <v>0</v>
      </c>
      <c r="AX2" s="1"/>
      <c r="AY2" s="1" t="s">
        <v>294</v>
      </c>
      <c r="AZ2" s="1" t="s">
        <v>294</v>
      </c>
      <c r="BA2" s="1" t="s">
        <v>295</v>
      </c>
      <c r="BB2" s="1" t="s">
        <v>295</v>
      </c>
      <c r="BC2" s="1" t="s">
        <v>296</v>
      </c>
      <c r="BD2" s="1" t="s">
        <v>296</v>
      </c>
      <c r="BE2" s="1" t="s">
        <v>297</v>
      </c>
      <c r="BF2" s="1" t="s">
        <v>298</v>
      </c>
      <c r="BG2" s="1" t="s">
        <v>208</v>
      </c>
      <c r="BH2" s="1" t="s">
        <v>299</v>
      </c>
      <c r="BI2" s="1" t="s">
        <v>1</v>
      </c>
      <c r="BK2" s="1"/>
      <c r="BL2" s="1" t="s">
        <v>2</v>
      </c>
      <c r="BM2" s="1" t="s">
        <v>3</v>
      </c>
      <c r="BN2" s="1" t="s">
        <v>300</v>
      </c>
      <c r="BO2" s="1" t="s">
        <v>0</v>
      </c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D2" s="1"/>
      <c r="CE2" s="1"/>
      <c r="CF2" s="1"/>
      <c r="CG2" s="1"/>
      <c r="CH2" s="1"/>
      <c r="CI2" s="1"/>
      <c r="CJ2" s="1"/>
      <c r="CL2" s="1"/>
      <c r="CM2" s="1"/>
      <c r="CN2" s="1"/>
      <c r="CO2" s="1"/>
    </row>
    <row r="3" spans="1:129">
      <c r="P3" s="3">
        <f>P7/(H7+G7)</f>
        <v>0.25623429948786908</v>
      </c>
      <c r="Z3" s="2">
        <f>Z7*0.000277778</f>
        <v>863.45981943575828</v>
      </c>
      <c r="AA3" s="1"/>
      <c r="AB3" s="2">
        <f>AB7*0.000277778</f>
        <v>6.409540636854544</v>
      </c>
      <c r="AC3" s="2">
        <f>AC7*0.000277778</f>
        <v>2445.8377114661516</v>
      </c>
      <c r="AD3" s="2">
        <f>AD7*0.000277778</f>
        <v>2445.8377114661516</v>
      </c>
      <c r="AE3" s="2">
        <f>AE7*0.000277778</f>
        <v>451.77659694686037</v>
      </c>
      <c r="AG3" s="1"/>
      <c r="AH3" s="1"/>
      <c r="AI3" s="1"/>
      <c r="AJ3" s="1"/>
      <c r="AK3" s="1"/>
      <c r="AL3" s="1"/>
      <c r="AM3" s="1"/>
      <c r="AN3" s="2">
        <f>AN7*0.000277778</f>
        <v>979.66898011559852</v>
      </c>
      <c r="AO3" s="1"/>
      <c r="AP3" s="2">
        <f>AP7*0.000277778</f>
        <v>156.59547855939238</v>
      </c>
      <c r="AQ3" s="2">
        <f>AQ7*0.000277778</f>
        <v>18.429100985564467</v>
      </c>
      <c r="AR3" s="1"/>
      <c r="AT3" s="2">
        <f>AT7*0.000277778</f>
        <v>61.154735006649474</v>
      </c>
      <c r="AU3" s="2">
        <f>AU7*0.000277778</f>
        <v>244.60398884443637</v>
      </c>
      <c r="AV3" s="2">
        <f>AV7*0.000277778</f>
        <v>129.3414638139964</v>
      </c>
      <c r="AW3" s="2">
        <f>AW7*0.000277778</f>
        <v>435.10018766508222</v>
      </c>
      <c r="BF3" s="2">
        <f>BF7*0.000277778</f>
        <v>995.24769684279795</v>
      </c>
      <c r="BH3" s="2">
        <f>BH7*0.000277778</f>
        <v>269.66708450641374</v>
      </c>
      <c r="BI3" s="2">
        <f>BI7*0.000277778</f>
        <v>34.016795762419754</v>
      </c>
      <c r="BL3" s="2">
        <f>BL7*0.000277778</f>
        <v>146.76043976999995</v>
      </c>
      <c r="BM3" s="2">
        <f>BM7*0.000277778</f>
        <v>27.952660900646883</v>
      </c>
      <c r="BN3" s="2">
        <f>BN7*0.000277778</f>
        <v>310.39640851642429</v>
      </c>
      <c r="BO3" s="2">
        <f>BO7*0.000277778</f>
        <v>485.10950918707113</v>
      </c>
      <c r="CC3" s="4"/>
      <c r="DI3" s="4"/>
    </row>
    <row r="4" spans="1:129" s="57" customFormat="1">
      <c r="B4" s="58"/>
      <c r="C4" s="58"/>
      <c r="D4" s="58"/>
      <c r="E4" s="59" t="s">
        <v>4</v>
      </c>
      <c r="F4" s="60"/>
      <c r="G4" s="60"/>
      <c r="H4" s="60"/>
      <c r="I4" s="60"/>
      <c r="J4" s="60"/>
      <c r="K4" s="60"/>
      <c r="L4" s="60"/>
      <c r="M4" s="60"/>
      <c r="N4" s="60"/>
      <c r="O4" s="60"/>
      <c r="P4" s="60" t="s">
        <v>5</v>
      </c>
      <c r="Q4" s="61"/>
      <c r="R4" s="62"/>
      <c r="S4" s="63">
        <v>2030</v>
      </c>
      <c r="T4" s="64"/>
      <c r="U4" s="64"/>
      <c r="V4" s="64"/>
      <c r="W4" s="64"/>
      <c r="X4" s="64"/>
      <c r="Y4" s="64"/>
      <c r="Z4" s="64"/>
      <c r="AA4" s="64"/>
      <c r="AB4" s="64"/>
      <c r="AC4" s="64"/>
      <c r="AD4" s="60"/>
      <c r="AE4" s="60"/>
      <c r="AF4" s="62"/>
      <c r="AG4" s="65">
        <v>2040</v>
      </c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0"/>
      <c r="AT4" s="60"/>
      <c r="AU4" s="61"/>
      <c r="AV4" s="61"/>
      <c r="AW4" s="61"/>
      <c r="AX4" s="62"/>
      <c r="AY4" s="67">
        <v>2050</v>
      </c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0"/>
      <c r="BL4" s="60"/>
      <c r="BM4" s="61"/>
      <c r="BN4" s="61"/>
      <c r="BO4" s="61"/>
      <c r="BQ4" s="69" t="s">
        <v>4</v>
      </c>
      <c r="BR4" s="70"/>
      <c r="BS4" s="70"/>
      <c r="BT4" s="70"/>
      <c r="BU4" s="70"/>
      <c r="BV4" s="70"/>
      <c r="BW4" s="70"/>
      <c r="BX4" s="70"/>
      <c r="BY4" s="70"/>
      <c r="BZ4" s="70"/>
      <c r="CA4" s="71"/>
      <c r="CB4" s="71"/>
      <c r="CC4" s="5"/>
      <c r="CD4" s="69">
        <v>2030</v>
      </c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1"/>
      <c r="CP4" s="71"/>
      <c r="CQ4" s="5"/>
      <c r="CR4" s="72">
        <v>2040</v>
      </c>
      <c r="CS4" s="72"/>
      <c r="CT4" s="72"/>
      <c r="CU4" s="72"/>
      <c r="CV4" s="72"/>
      <c r="CW4" s="72"/>
      <c r="CX4" s="72"/>
      <c r="CY4" s="72"/>
      <c r="CZ4" s="72"/>
      <c r="DA4" s="72"/>
      <c r="DB4" s="72"/>
      <c r="DC4" s="72"/>
      <c r="DI4" s="5"/>
      <c r="DJ4" s="72">
        <v>2050</v>
      </c>
      <c r="DK4" s="72"/>
      <c r="DL4" s="72"/>
      <c r="DM4" s="72"/>
      <c r="DN4" s="72"/>
      <c r="DO4" s="72"/>
      <c r="DP4" s="72"/>
      <c r="DQ4" s="72"/>
      <c r="DR4" s="72"/>
      <c r="DS4" s="72"/>
      <c r="DT4" s="72"/>
      <c r="DU4" s="72"/>
    </row>
    <row r="5" spans="1:129">
      <c r="A5" s="73"/>
      <c r="B5" s="6"/>
      <c r="C5" s="6"/>
      <c r="D5" s="6"/>
      <c r="E5" s="74" t="s">
        <v>6</v>
      </c>
      <c r="F5" s="7"/>
      <c r="G5" s="7"/>
      <c r="H5" s="7"/>
      <c r="I5" s="7"/>
      <c r="J5" s="7"/>
      <c r="K5" s="7"/>
      <c r="L5" s="7"/>
      <c r="M5" s="7"/>
      <c r="N5" s="60" t="s">
        <v>5</v>
      </c>
      <c r="O5" s="7"/>
      <c r="P5" s="7"/>
      <c r="Q5" s="8"/>
      <c r="R5" s="9"/>
      <c r="S5" s="10"/>
      <c r="T5" s="10"/>
      <c r="U5" s="10"/>
      <c r="V5" s="10"/>
      <c r="W5" s="10"/>
      <c r="X5" s="10"/>
      <c r="Y5" s="10"/>
      <c r="Z5" s="10"/>
      <c r="AA5" s="10"/>
      <c r="AB5" s="10"/>
      <c r="AC5" s="10" t="s">
        <v>7</v>
      </c>
      <c r="AD5" s="7"/>
      <c r="AE5" s="7"/>
      <c r="AF5" s="9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 t="s">
        <v>7</v>
      </c>
      <c r="AS5" s="7"/>
      <c r="AT5" s="7"/>
      <c r="AU5" s="8"/>
      <c r="AV5" s="8"/>
      <c r="AW5" s="8"/>
      <c r="AX5" s="9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 t="s">
        <v>7</v>
      </c>
      <c r="BK5" s="7"/>
      <c r="BL5" s="7"/>
      <c r="BM5" s="8"/>
      <c r="BN5" s="8"/>
      <c r="BO5" s="8"/>
      <c r="BQ5" s="13"/>
      <c r="BR5" s="13"/>
      <c r="BS5" s="13"/>
      <c r="BT5" s="13"/>
      <c r="BU5" s="13"/>
      <c r="BV5" s="13"/>
      <c r="BW5" s="13"/>
      <c r="BX5" s="13"/>
      <c r="BY5" s="13"/>
      <c r="BZ5" s="13" t="s">
        <v>8</v>
      </c>
      <c r="CA5" s="14"/>
      <c r="CB5" s="14"/>
      <c r="CC5" s="5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 t="s">
        <v>9</v>
      </c>
      <c r="CO5" s="14"/>
      <c r="CP5" s="14"/>
      <c r="CQ5" s="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 t="s">
        <v>9</v>
      </c>
      <c r="DC5" s="15"/>
      <c r="DD5" s="1"/>
      <c r="DE5" s="1"/>
      <c r="DF5" s="1"/>
      <c r="DG5" s="1"/>
      <c r="DH5" s="1"/>
      <c r="DI5" s="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 t="s">
        <v>9</v>
      </c>
      <c r="DU5" s="15"/>
      <c r="DY5" s="1"/>
    </row>
    <row r="6" spans="1:129">
      <c r="A6" s="16"/>
      <c r="B6" s="17"/>
      <c r="C6" s="17"/>
      <c r="D6" s="17"/>
      <c r="E6" s="74" t="s">
        <v>203</v>
      </c>
      <c r="F6" s="75" t="s">
        <v>204</v>
      </c>
      <c r="G6" s="75" t="s">
        <v>301</v>
      </c>
      <c r="H6" s="75" t="s">
        <v>10</v>
      </c>
      <c r="I6" s="75" t="s">
        <v>205</v>
      </c>
      <c r="J6" s="75" t="s">
        <v>206</v>
      </c>
      <c r="K6" s="74" t="s">
        <v>207</v>
      </c>
      <c r="L6" s="74" t="s">
        <v>2</v>
      </c>
      <c r="M6" s="75" t="s">
        <v>208</v>
      </c>
      <c r="N6" s="74" t="s">
        <v>209</v>
      </c>
      <c r="O6" s="75" t="s">
        <v>245</v>
      </c>
      <c r="P6" s="75" t="s">
        <v>246</v>
      </c>
      <c r="Q6" s="76" t="s">
        <v>247</v>
      </c>
      <c r="R6" s="9"/>
      <c r="S6" s="77" t="s">
        <v>203</v>
      </c>
      <c r="T6" s="78" t="s">
        <v>204</v>
      </c>
      <c r="U6" s="78" t="s">
        <v>301</v>
      </c>
      <c r="V6" s="78" t="s">
        <v>11</v>
      </c>
      <c r="W6" s="78" t="s">
        <v>205</v>
      </c>
      <c r="X6" s="77" t="s">
        <v>206</v>
      </c>
      <c r="Y6" s="78" t="s">
        <v>207</v>
      </c>
      <c r="Z6" s="78" t="s">
        <v>2</v>
      </c>
      <c r="AA6" s="78" t="s">
        <v>208</v>
      </c>
      <c r="AB6" s="78" t="s">
        <v>299</v>
      </c>
      <c r="AC6" s="78" t="s">
        <v>209</v>
      </c>
      <c r="AD6" s="75" t="s">
        <v>245</v>
      </c>
      <c r="AE6" s="75" t="s">
        <v>246</v>
      </c>
      <c r="AF6" s="9"/>
      <c r="AG6" s="11" t="s">
        <v>203</v>
      </c>
      <c r="AH6" s="11" t="s">
        <v>204</v>
      </c>
      <c r="AI6" s="11" t="s">
        <v>381</v>
      </c>
      <c r="AJ6" s="11" t="s">
        <v>11</v>
      </c>
      <c r="AK6" s="11" t="s">
        <v>205</v>
      </c>
      <c r="AL6" s="11" t="s">
        <v>206</v>
      </c>
      <c r="AM6" s="11" t="s">
        <v>207</v>
      </c>
      <c r="AN6" s="11" t="s">
        <v>2</v>
      </c>
      <c r="AO6" s="11" t="s">
        <v>208</v>
      </c>
      <c r="AP6" s="11" t="s">
        <v>299</v>
      </c>
      <c r="AQ6" s="11" t="s">
        <v>1</v>
      </c>
      <c r="AR6" s="11" t="s">
        <v>209</v>
      </c>
      <c r="AS6" s="75" t="s">
        <v>245</v>
      </c>
      <c r="AT6" s="75" t="s">
        <v>2</v>
      </c>
      <c r="AU6" s="76" t="s">
        <v>3</v>
      </c>
      <c r="AV6" s="76" t="s">
        <v>302</v>
      </c>
      <c r="AW6" s="75" t="s">
        <v>303</v>
      </c>
      <c r="AX6" s="9"/>
      <c r="AY6" s="12" t="s">
        <v>203</v>
      </c>
      <c r="AZ6" s="12" t="s">
        <v>204</v>
      </c>
      <c r="BA6" s="12" t="s">
        <v>381</v>
      </c>
      <c r="BB6" s="12" t="s">
        <v>11</v>
      </c>
      <c r="BC6" s="12" t="s">
        <v>205</v>
      </c>
      <c r="BD6" s="12" t="s">
        <v>206</v>
      </c>
      <c r="BE6" s="12" t="s">
        <v>207</v>
      </c>
      <c r="BF6" s="12" t="s">
        <v>2</v>
      </c>
      <c r="BG6" s="12" t="s">
        <v>208</v>
      </c>
      <c r="BH6" s="12" t="s">
        <v>299</v>
      </c>
      <c r="BI6" s="12" t="s">
        <v>1</v>
      </c>
      <c r="BJ6" s="12" t="s">
        <v>209</v>
      </c>
      <c r="BK6" s="75" t="s">
        <v>245</v>
      </c>
      <c r="BL6" s="75" t="s">
        <v>2</v>
      </c>
      <c r="BM6" s="76" t="s">
        <v>3</v>
      </c>
      <c r="BN6" s="76" t="s">
        <v>302</v>
      </c>
      <c r="BO6" s="75" t="s">
        <v>303</v>
      </c>
      <c r="BQ6" s="79" t="s">
        <v>203</v>
      </c>
      <c r="BR6" s="80" t="s">
        <v>204</v>
      </c>
      <c r="BS6" s="80" t="s">
        <v>301</v>
      </c>
      <c r="BT6" s="80" t="s">
        <v>11</v>
      </c>
      <c r="BU6" s="80" t="s">
        <v>205</v>
      </c>
      <c r="BV6" s="80" t="s">
        <v>206</v>
      </c>
      <c r="BW6" s="79" t="s">
        <v>207</v>
      </c>
      <c r="BX6" s="79" t="s">
        <v>2</v>
      </c>
      <c r="BY6" s="80" t="s">
        <v>208</v>
      </c>
      <c r="BZ6" s="80" t="s">
        <v>12</v>
      </c>
      <c r="CA6" s="80" t="s">
        <v>13</v>
      </c>
      <c r="CB6" s="80" t="s">
        <v>0</v>
      </c>
      <c r="CC6" s="5"/>
      <c r="CD6" s="79" t="s">
        <v>203</v>
      </c>
      <c r="CE6" s="80" t="s">
        <v>204</v>
      </c>
      <c r="CF6" s="80" t="s">
        <v>301</v>
      </c>
      <c r="CG6" s="80" t="s">
        <v>11</v>
      </c>
      <c r="CH6" s="80" t="s">
        <v>205</v>
      </c>
      <c r="CI6" s="79" t="s">
        <v>206</v>
      </c>
      <c r="CJ6" s="80" t="s">
        <v>207</v>
      </c>
      <c r="CK6" s="80" t="s">
        <v>2</v>
      </c>
      <c r="CL6" s="80" t="s">
        <v>208</v>
      </c>
      <c r="CM6" s="80" t="s">
        <v>299</v>
      </c>
      <c r="CN6" s="80" t="s">
        <v>12</v>
      </c>
      <c r="CO6" s="80" t="s">
        <v>13</v>
      </c>
      <c r="CP6" s="80" t="s">
        <v>0</v>
      </c>
      <c r="CQ6" s="5"/>
      <c r="CR6" s="15" t="s">
        <v>203</v>
      </c>
      <c r="CS6" s="15" t="s">
        <v>204</v>
      </c>
      <c r="CT6" s="15" t="s">
        <v>381</v>
      </c>
      <c r="CU6" s="15" t="s">
        <v>10</v>
      </c>
      <c r="CV6" s="15" t="s">
        <v>205</v>
      </c>
      <c r="CW6" s="15" t="s">
        <v>206</v>
      </c>
      <c r="CX6" s="15" t="s">
        <v>207</v>
      </c>
      <c r="CY6" s="15" t="s">
        <v>2</v>
      </c>
      <c r="CZ6" s="15" t="s">
        <v>208</v>
      </c>
      <c r="DA6" s="15" t="s">
        <v>299</v>
      </c>
      <c r="DB6" s="80" t="s">
        <v>14</v>
      </c>
      <c r="DC6" s="80" t="s">
        <v>15</v>
      </c>
      <c r="DD6" s="80" t="s">
        <v>304</v>
      </c>
      <c r="DE6" s="80" t="s">
        <v>16</v>
      </c>
      <c r="DF6" s="1" t="s">
        <v>305</v>
      </c>
      <c r="DG6" s="1" t="s">
        <v>0</v>
      </c>
      <c r="DH6" s="1"/>
      <c r="DI6" s="5"/>
      <c r="DJ6" s="15" t="s">
        <v>203</v>
      </c>
      <c r="DK6" s="15" t="s">
        <v>204</v>
      </c>
      <c r="DL6" s="15" t="s">
        <v>381</v>
      </c>
      <c r="DM6" s="15" t="s">
        <v>10</v>
      </c>
      <c r="DN6" s="15" t="s">
        <v>205</v>
      </c>
      <c r="DO6" s="15" t="s">
        <v>206</v>
      </c>
      <c r="DP6" s="15" t="s">
        <v>207</v>
      </c>
      <c r="DQ6" s="15" t="s">
        <v>2</v>
      </c>
      <c r="DR6" s="15" t="s">
        <v>208</v>
      </c>
      <c r="DS6" s="15" t="s">
        <v>299</v>
      </c>
      <c r="DT6" s="80" t="s">
        <v>14</v>
      </c>
      <c r="DU6" s="80" t="s">
        <v>15</v>
      </c>
      <c r="DV6" s="80" t="s">
        <v>304</v>
      </c>
      <c r="DW6" s="80" t="s">
        <v>16</v>
      </c>
      <c r="DX6" s="1" t="s">
        <v>305</v>
      </c>
      <c r="DY6" s="1" t="s">
        <v>0</v>
      </c>
    </row>
    <row r="7" spans="1:129" s="4" customFormat="1">
      <c r="A7" s="23" t="s">
        <v>17</v>
      </c>
      <c r="B7" s="81" t="s">
        <v>18</v>
      </c>
      <c r="C7" s="35"/>
      <c r="D7" s="82" t="s">
        <v>306</v>
      </c>
      <c r="E7" s="18">
        <f t="shared" ref="E7:N7" si="2">E9+E14+E15+E17+E40+E59+E61+E69</f>
        <v>419858.52389479207</v>
      </c>
      <c r="F7" s="18">
        <f t="shared" si="2"/>
        <v>916306.45838763053</v>
      </c>
      <c r="G7" s="18">
        <f>Q7-H7</f>
        <v>5856874.0468166554</v>
      </c>
      <c r="H7" s="18">
        <v>560215.31408487819</v>
      </c>
      <c r="I7" s="18">
        <f t="shared" si="2"/>
        <v>50764.078694079006</v>
      </c>
      <c r="J7" s="18">
        <f t="shared" si="2"/>
        <v>1075696.4371293953</v>
      </c>
      <c r="K7" s="18">
        <f t="shared" si="2"/>
        <v>41540.561543232259</v>
      </c>
      <c r="L7" s="18">
        <f t="shared" si="2"/>
        <v>3411268.3974121655</v>
      </c>
      <c r="M7" s="18">
        <f t="shared" si="2"/>
        <v>953188.79297999525</v>
      </c>
      <c r="N7" s="18">
        <f t="shared" si="2"/>
        <v>11671023.502577282</v>
      </c>
      <c r="O7" s="18">
        <f>O9+O14+O15+O17+O40+O59+O61+O69</f>
        <v>11671023.502577282</v>
      </c>
      <c r="P7" s="18">
        <f>P9+P14+P15+P17+P40+P59+P61+P69</f>
        <v>1644278.397141662</v>
      </c>
      <c r="Q7" s="18">
        <v>6417089.3609015336</v>
      </c>
      <c r="R7" s="2"/>
      <c r="S7" s="18">
        <f t="shared" ref="S7:AB7" si="3">S9+S14+S15+S17+S40+S59+S61+S69</f>
        <v>192922.93700697177</v>
      </c>
      <c r="T7" s="18">
        <f t="shared" si="3"/>
        <v>396787.50229636085</v>
      </c>
      <c r="U7" s="18">
        <f t="shared" si="3"/>
        <v>2838883.3664009529</v>
      </c>
      <c r="V7" s="18">
        <f t="shared" si="3"/>
        <v>258490.8995499856</v>
      </c>
      <c r="W7" s="18">
        <f t="shared" si="3"/>
        <v>510337.96980332909</v>
      </c>
      <c r="X7" s="18">
        <f t="shared" si="3"/>
        <v>859240.88096310536</v>
      </c>
      <c r="Y7" s="18">
        <f t="shared" si="3"/>
        <v>39360.099362320958</v>
      </c>
      <c r="Z7" s="18">
        <f t="shared" si="3"/>
        <v>3108452.8632064392</v>
      </c>
      <c r="AA7" s="18">
        <f t="shared" si="3"/>
        <v>639357.59228720819</v>
      </c>
      <c r="AB7" s="18">
        <f t="shared" si="3"/>
        <v>23074.327833214091</v>
      </c>
      <c r="AC7" s="18">
        <f>AC9+AC14+AC15+AC17+AC40+AC59+AC61+AC69</f>
        <v>8805008.7172711715</v>
      </c>
      <c r="AD7" s="18">
        <f>AD9+AD14+AD15+AD17+AD40+AD59+AD61+AD69</f>
        <v>8805008.7172711715</v>
      </c>
      <c r="AE7" s="18">
        <f>AE9+AE14+AE15+AE17+AE40+AE59+AE61+AE69</f>
        <v>1626394.447893139</v>
      </c>
      <c r="AF7" s="2"/>
      <c r="AG7" s="18">
        <f t="shared" ref="AG7:AW7" si="4">AG9+AG14+AG15+AG17+AG40+AG59+AG61+AG69</f>
        <v>1.0357425216302989</v>
      </c>
      <c r="AH7" s="18">
        <f t="shared" si="4"/>
        <v>275.15995002637095</v>
      </c>
      <c r="AI7" s="18">
        <f t="shared" si="4"/>
        <v>793170.20665650954</v>
      </c>
      <c r="AJ7" s="18">
        <f t="shared" si="4"/>
        <v>111848.67412510545</v>
      </c>
      <c r="AK7" s="18">
        <f t="shared" si="4"/>
        <v>682566.03845147416</v>
      </c>
      <c r="AL7" s="18">
        <f t="shared" si="4"/>
        <v>450637.28484943835</v>
      </c>
      <c r="AM7" s="18">
        <f t="shared" si="4"/>
        <v>54321.402468928689</v>
      </c>
      <c r="AN7" s="18">
        <f t="shared" si="4"/>
        <v>3526805.506971749</v>
      </c>
      <c r="AO7" s="18">
        <f t="shared" si="4"/>
        <v>407494.79605306318</v>
      </c>
      <c r="AP7" s="18">
        <f t="shared" si="4"/>
        <v>563743.27181919513</v>
      </c>
      <c r="AQ7" s="18">
        <f t="shared" si="4"/>
        <v>66344.710472263701</v>
      </c>
      <c r="AR7" s="18">
        <f t="shared" si="4"/>
        <v>6657208.0875602737</v>
      </c>
      <c r="AS7" s="18">
        <f t="shared" si="4"/>
        <v>6657208.0875602737</v>
      </c>
      <c r="AT7" s="18">
        <f t="shared" si="4"/>
        <v>220156.86989844218</v>
      </c>
      <c r="AU7" s="18">
        <f t="shared" si="4"/>
        <v>880573.65538104658</v>
      </c>
      <c r="AV7" s="18">
        <f t="shared" si="4"/>
        <v>465628.89722726919</v>
      </c>
      <c r="AW7" s="18">
        <f t="shared" si="4"/>
        <v>1566359.422506758</v>
      </c>
      <c r="AX7" s="2"/>
      <c r="AY7" s="18">
        <f t="shared" ref="AY7:BO7" si="5">AY9+AY14+AY15+AY17+AY40+AY59+AY61+AY69</f>
        <v>0</v>
      </c>
      <c r="AZ7" s="18">
        <f t="shared" si="5"/>
        <v>0</v>
      </c>
      <c r="BA7" s="18">
        <f t="shared" si="5"/>
        <v>24421.995118841547</v>
      </c>
      <c r="BB7" s="18">
        <f t="shared" si="5"/>
        <v>17809.811857032841</v>
      </c>
      <c r="BC7" s="18">
        <f t="shared" si="5"/>
        <v>18664.64922897804</v>
      </c>
      <c r="BD7" s="18">
        <f t="shared" si="5"/>
        <v>125482.84957615507</v>
      </c>
      <c r="BE7" s="18">
        <f t="shared" si="5"/>
        <v>67140.059399186692</v>
      </c>
      <c r="BF7" s="18">
        <f t="shared" si="5"/>
        <v>3582888.8423229987</v>
      </c>
      <c r="BG7" s="18">
        <f t="shared" si="5"/>
        <v>151942.35640229002</v>
      </c>
      <c r="BH7" s="18">
        <f t="shared" si="5"/>
        <v>970800.72758250742</v>
      </c>
      <c r="BI7" s="18">
        <f t="shared" si="5"/>
        <v>122460.36677641768</v>
      </c>
      <c r="BJ7" s="18">
        <f t="shared" si="5"/>
        <v>5081611.6582644079</v>
      </c>
      <c r="BK7" s="18">
        <f t="shared" si="5"/>
        <v>5081611.6582644079</v>
      </c>
      <c r="BL7" s="18">
        <f t="shared" si="5"/>
        <v>528337.16050227138</v>
      </c>
      <c r="BM7" s="18">
        <f t="shared" si="5"/>
        <v>100629.49873872979</v>
      </c>
      <c r="BN7" s="18">
        <f t="shared" si="5"/>
        <v>1117426.1767181861</v>
      </c>
      <c r="BO7" s="18">
        <f t="shared" si="5"/>
        <v>1746392.8359591872</v>
      </c>
      <c r="BQ7" s="53">
        <f t="shared" ref="BQ7:BZ7" si="6">BQ9+BQ14+BQ15+BQ17+BQ40+BQ59+BQ61+BQ69</f>
        <v>42.081447417523663</v>
      </c>
      <c r="BR7" s="53">
        <f t="shared" si="6"/>
        <v>96.16777807849688</v>
      </c>
      <c r="BS7" s="53">
        <f t="shared" si="6"/>
        <v>316.0617576030092</v>
      </c>
      <c r="BT7" s="53">
        <f t="shared" si="6"/>
        <v>21.101571127942837</v>
      </c>
      <c r="BU7" s="53">
        <f t="shared" si="6"/>
        <v>2.8509172875901525</v>
      </c>
      <c r="BV7" s="53">
        <f t="shared" si="6"/>
        <v>61.943092371631764</v>
      </c>
      <c r="BW7" s="53">
        <f t="shared" si="6"/>
        <v>0</v>
      </c>
      <c r="BX7" s="53">
        <f t="shared" si="6"/>
        <v>463.48062398647039</v>
      </c>
      <c r="BY7" s="53">
        <f t="shared" si="6"/>
        <v>69.655325444003026</v>
      </c>
      <c r="BZ7" s="53">
        <f t="shared" si="6"/>
        <v>1073.3425133166679</v>
      </c>
      <c r="CA7" s="53">
        <f>CA9+CA14+CA15+CA17+CA40+CA59+CA61+CA69</f>
        <v>609.86188933019753</v>
      </c>
      <c r="CB7" s="53">
        <f>CB9+CB14+CB15+CB17+CB40+CB59+CB61+CB69</f>
        <v>112.1215936512604</v>
      </c>
      <c r="CD7" s="53">
        <f t="shared" ref="CD7:CL7" si="7">CD9+CD14+CD15+CD17+CD40+CD59+CD61+CD69</f>
        <v>19.306654665754436</v>
      </c>
      <c r="CE7" s="53">
        <f t="shared" si="7"/>
        <v>42.065396884747038</v>
      </c>
      <c r="CF7" s="53">
        <f t="shared" si="7"/>
        <v>205.15438085476094</v>
      </c>
      <c r="CG7" s="53">
        <f>CG9+CG14+CG15+CG17+CG40+CG59+CG61+CG69</f>
        <v>16.346068746586447</v>
      </c>
      <c r="CH7" s="53">
        <f t="shared" si="7"/>
        <v>28.31683587840768</v>
      </c>
      <c r="CI7" s="53">
        <f t="shared" si="7"/>
        <v>50.038558211028224</v>
      </c>
      <c r="CJ7" s="53">
        <f t="shared" si="7"/>
        <v>0</v>
      </c>
      <c r="CK7" s="53">
        <f t="shared" si="7"/>
        <v>124.00678496040231</v>
      </c>
      <c r="CL7" s="53">
        <f t="shared" si="7"/>
        <v>27.959937716381255</v>
      </c>
      <c r="CM7" s="53"/>
      <c r="CN7" s="53">
        <f>CN9+CN14+CN15+CN17+CN40+CN59+CN61+CN69</f>
        <v>513.19461791806839</v>
      </c>
      <c r="CO7" s="53">
        <f>CO9+CO14+CO15+CO17+CO40+CO59+CO61+CO69</f>
        <v>389.18783295766616</v>
      </c>
      <c r="CP7" s="53">
        <f>CP9+CP14+CP15+CP17+CP40+CP59+CP61+CP69</f>
        <v>110.80073023022844</v>
      </c>
      <c r="CR7" s="53">
        <f t="shared" ref="CR7:CT7" si="8">CR9+CR14+CR15+CR17+CR40+CR59+CR61+CR69</f>
        <v>9.1647691192459386E-5</v>
      </c>
      <c r="CS7" s="53">
        <f t="shared" si="8"/>
        <v>4.637134851289941E-2</v>
      </c>
      <c r="CT7" s="53">
        <f t="shared" si="8"/>
        <v>55.569427068404096</v>
      </c>
      <c r="CU7" s="53">
        <f>CU9+CU14+CU15+CU17+CU40+CU59+CU61+CU69</f>
        <v>7.0895766205953281</v>
      </c>
      <c r="CV7" s="53">
        <f t="shared" ref="CV7:CW7" si="9">CV9+CV14+CV15+CV17+CV40+CV59+CV61+CV69</f>
        <v>38.608437626717496</v>
      </c>
      <c r="CW7" s="53">
        <f t="shared" si="9"/>
        <v>26.810915158935423</v>
      </c>
      <c r="CX7" s="53"/>
      <c r="CY7" s="53">
        <f t="shared" ref="CY7:CZ7" si="10">CY9+CY14+CY15+CY17+CY40+CY59+CY61+CY69</f>
        <v>13.163038442087821</v>
      </c>
      <c r="CZ7" s="53">
        <f t="shared" si="10"/>
        <v>14.881769120194591</v>
      </c>
      <c r="DA7" s="53"/>
      <c r="DB7" s="53">
        <f>DB9+DB14+DB15+DB17+DB40+DB59+DB61+DB69</f>
        <v>156.16962703313882</v>
      </c>
      <c r="DC7" s="53">
        <f>DC9+DC14+DC15+DC17+DC40+DC59+DC61+DC69</f>
        <v>143.00658859105098</v>
      </c>
      <c r="DE7" s="53">
        <f>DE9+DE14+DE15+DE17+DE40+DE59+DE61+DE69</f>
        <v>108.60424313675381</v>
      </c>
      <c r="DF7" s="53">
        <f>DF9+DF14+DF15+DF17+DF40+DF59+DF61+DF69</f>
        <v>34.402345454297219</v>
      </c>
      <c r="DG7" s="53">
        <f>DG9+DG14+DG15+DG17+DG40+DG59+DG61+DG69</f>
        <v>59.653489813123315</v>
      </c>
      <c r="DH7" s="9"/>
      <c r="DJ7" s="53">
        <f t="shared" ref="DJ7:DR7" si="11">DJ9+DJ14+DJ15+DJ17+DJ40+DJ59+DJ61+DJ69</f>
        <v>0</v>
      </c>
      <c r="DK7" s="53">
        <f t="shared" si="11"/>
        <v>0</v>
      </c>
      <c r="DL7" s="53">
        <f t="shared" si="11"/>
        <v>1.6711965627101601</v>
      </c>
      <c r="DM7" s="53">
        <f>DM9+DM14+DM15+DM17+DM40+DM59+DM61+DM69</f>
        <v>1.1205332944313433</v>
      </c>
      <c r="DN7" s="53">
        <f t="shared" si="11"/>
        <v>1.1388525868866646</v>
      </c>
      <c r="DO7" s="53">
        <f t="shared" si="11"/>
        <v>8.0018834808434374</v>
      </c>
      <c r="DP7" s="53"/>
      <c r="DQ7" s="53">
        <f t="shared" ref="DQ7" si="12">DQ9+DQ14+DQ15+DQ17+DQ40+DQ59+DQ61+DQ69</f>
        <v>0</v>
      </c>
      <c r="DR7" s="53">
        <f t="shared" si="11"/>
        <v>0</v>
      </c>
      <c r="DS7" s="53"/>
      <c r="DT7" s="53">
        <f>DT9+DT14+DT15+DT17+DT40+DT59+DT61+DT69</f>
        <v>11.932465924871604</v>
      </c>
      <c r="DU7" s="53">
        <f>DU9+DU14+DU15+DU17+DU40+DU59+DU61+DU69</f>
        <v>11.932465924871604</v>
      </c>
      <c r="DV7" s="54"/>
      <c r="DW7" s="53">
        <f>DW9+DW14+DW15+DW17+DW40+DW59+DW61+DW69</f>
        <v>10.989943550030244</v>
      </c>
      <c r="DX7" s="53">
        <f>DX9+DX14+DX15+DX17+DX40+DX59+DX61+DX69</f>
        <v>0.94252237484136037</v>
      </c>
      <c r="DY7" s="53">
        <f>DY9+DY14+DY15+DY17+DY40+DY59+DY61+DY69</f>
        <v>6.8170342608227532</v>
      </c>
    </row>
    <row r="8" spans="1:129" s="4" customFormat="1">
      <c r="A8" s="23"/>
      <c r="B8" s="81"/>
      <c r="C8" s="35"/>
      <c r="D8" s="82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2">
        <f>AN9*0.000277778</f>
        <v>7.0794002651673757</v>
      </c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2">
        <f>BF9*0.000277778</f>
        <v>9.3935763051512939</v>
      </c>
      <c r="BG8" s="9"/>
      <c r="BH8" s="9"/>
      <c r="BI8" s="9"/>
      <c r="BJ8" s="9"/>
      <c r="BK8" s="9"/>
      <c r="BL8" s="9"/>
      <c r="BM8" s="9"/>
      <c r="BN8" s="9"/>
      <c r="BO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G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Y8" s="9"/>
    </row>
    <row r="9" spans="1:129" s="4" customFormat="1">
      <c r="A9" s="19" t="s">
        <v>19</v>
      </c>
      <c r="B9" s="20" t="s">
        <v>20</v>
      </c>
      <c r="C9" s="83" t="s">
        <v>21</v>
      </c>
      <c r="D9" s="83" t="s">
        <v>307</v>
      </c>
      <c r="E9" s="18">
        <f>SUM(E10:E13)</f>
        <v>2.6639064557454406E-2</v>
      </c>
      <c r="F9" s="18">
        <f>SUM(F10:F13)</f>
        <v>0.82787558370119851</v>
      </c>
      <c r="G9" s="18">
        <f>Q9-H9</f>
        <v>242595.65497980293</v>
      </c>
      <c r="H9" s="18">
        <f t="shared" ref="H9:P9" si="13">SUM(H10:H13)</f>
        <v>179.2734432474241</v>
      </c>
      <c r="I9" s="18">
        <f t="shared" si="13"/>
        <v>0</v>
      </c>
      <c r="J9" s="18">
        <f t="shared" si="13"/>
        <v>69.097879135512898</v>
      </c>
      <c r="K9" s="18">
        <f t="shared" si="13"/>
        <v>0</v>
      </c>
      <c r="L9" s="18">
        <f t="shared" si="13"/>
        <v>12484.74767172089</v>
      </c>
      <c r="M9" s="18">
        <f t="shared" si="13"/>
        <v>2.168346528359876</v>
      </c>
      <c r="N9" s="18">
        <f t="shared" si="13"/>
        <v>254496.56796057985</v>
      </c>
      <c r="O9" s="18">
        <f t="shared" si="13"/>
        <v>254496.56796057988</v>
      </c>
      <c r="P9" s="18">
        <f t="shared" si="13"/>
        <v>835.22887450350788</v>
      </c>
      <c r="Q9" s="18">
        <f>SUM(Q10:Q13)</f>
        <v>242774.92842305035</v>
      </c>
      <c r="R9" s="2" t="s">
        <v>382</v>
      </c>
      <c r="S9" s="18">
        <f>SUM(S10:S13)</f>
        <v>1.8553943563405409E-2</v>
      </c>
      <c r="T9" s="18">
        <f>SUM(T10:T13)</f>
        <v>0.46445632734481651</v>
      </c>
      <c r="U9" s="18">
        <f>SUM(U10:U13)</f>
        <v>146447.54489963668</v>
      </c>
      <c r="V9" s="18">
        <f t="shared" ref="V9:AA9" si="14">SUM(V10:V13)</f>
        <v>101.99564914765547</v>
      </c>
      <c r="W9" s="18">
        <f t="shared" si="14"/>
        <v>0</v>
      </c>
      <c r="X9" s="18">
        <f t="shared" si="14"/>
        <v>25.201433212062476</v>
      </c>
      <c r="Y9" s="18">
        <f t="shared" si="14"/>
        <v>6825.9585206950424</v>
      </c>
      <c r="Z9" s="18">
        <f t="shared" si="14"/>
        <v>15123.116128311747</v>
      </c>
      <c r="AA9" s="18">
        <f t="shared" si="14"/>
        <v>0</v>
      </c>
      <c r="AB9" s="18"/>
      <c r="AC9" s="18">
        <f>SUM(AC10:AC13)</f>
        <v>168524.29964127412</v>
      </c>
      <c r="AD9" s="18">
        <f>SUM(AD10:AD13)</f>
        <v>168524.29964127412</v>
      </c>
      <c r="AE9" s="18">
        <f>SUM(AE10:AE13)</f>
        <v>677.87434405062925</v>
      </c>
      <c r="AF9" s="2" t="s">
        <v>382</v>
      </c>
      <c r="AG9" s="18">
        <f>SUM(AG10:AG13)</f>
        <v>8.4829605896226262E-3</v>
      </c>
      <c r="AH9" s="18">
        <f>SUM(AH10:AH13)</f>
        <v>0.21235187586955231</v>
      </c>
      <c r="AI9" s="18">
        <f>SUM(AI10:AI13)</f>
        <v>66956.587831864323</v>
      </c>
      <c r="AJ9" s="18">
        <f t="shared" ref="AJ9:AW9" si="15">SUM(AJ10:AJ13)</f>
        <v>46.632947280224123</v>
      </c>
      <c r="AK9" s="18">
        <f t="shared" si="15"/>
        <v>0</v>
      </c>
      <c r="AL9" s="18">
        <f t="shared" si="15"/>
        <v>11.522227822315037</v>
      </c>
      <c r="AM9" s="18">
        <f t="shared" si="15"/>
        <v>18171.022301835688</v>
      </c>
      <c r="AN9" s="18">
        <f t="shared" si="15"/>
        <v>25485.820565946098</v>
      </c>
      <c r="AO9" s="18">
        <f t="shared" si="15"/>
        <v>0</v>
      </c>
      <c r="AP9" s="18">
        <f t="shared" si="15"/>
        <v>16812.904947576473</v>
      </c>
      <c r="AQ9" s="18">
        <f t="shared" si="15"/>
        <v>3222.0263467373816</v>
      </c>
      <c r="AR9" s="18">
        <f t="shared" si="15"/>
        <v>130706.73800389896</v>
      </c>
      <c r="AS9" s="18">
        <f t="shared" si="15"/>
        <v>130706.73800389896</v>
      </c>
      <c r="AT9" s="18">
        <f t="shared" si="15"/>
        <v>0</v>
      </c>
      <c r="AU9" s="18">
        <f t="shared" si="15"/>
        <v>0</v>
      </c>
      <c r="AV9" s="18">
        <f t="shared" si="15"/>
        <v>0</v>
      </c>
      <c r="AW9" s="18">
        <f t="shared" si="15"/>
        <v>0</v>
      </c>
      <c r="AX9" s="2" t="s">
        <v>382</v>
      </c>
      <c r="AY9" s="18">
        <f>SUM(AY10:AY13)</f>
        <v>0</v>
      </c>
      <c r="AZ9" s="18">
        <f>SUM(AZ10:AZ13)</f>
        <v>0</v>
      </c>
      <c r="BA9" s="18">
        <f>SUM(BA10:BA13)</f>
        <v>0</v>
      </c>
      <c r="BB9" s="18">
        <f t="shared" ref="BB9:BO9" si="16">SUM(BB10:BB13)</f>
        <v>0</v>
      </c>
      <c r="BC9" s="18">
        <f t="shared" si="16"/>
        <v>0</v>
      </c>
      <c r="BD9" s="18">
        <f t="shared" si="16"/>
        <v>0</v>
      </c>
      <c r="BE9" s="18">
        <f t="shared" si="16"/>
        <v>27404.756800260431</v>
      </c>
      <c r="BF9" s="18">
        <f t="shared" si="16"/>
        <v>33816.84764506654</v>
      </c>
      <c r="BG9" s="18">
        <f t="shared" si="16"/>
        <v>0</v>
      </c>
      <c r="BH9" s="18">
        <f t="shared" si="16"/>
        <v>30616.20774134776</v>
      </c>
      <c r="BI9" s="18">
        <f t="shared" si="16"/>
        <v>5867.29231429022</v>
      </c>
      <c r="BJ9" s="18">
        <f t="shared" si="16"/>
        <v>97705.104500964953</v>
      </c>
      <c r="BK9" s="18">
        <f t="shared" si="16"/>
        <v>97705.104500964953</v>
      </c>
      <c r="BL9" s="18">
        <f t="shared" si="16"/>
        <v>0</v>
      </c>
      <c r="BM9" s="18">
        <f t="shared" si="16"/>
        <v>0</v>
      </c>
      <c r="BN9" s="18">
        <f t="shared" si="16"/>
        <v>0</v>
      </c>
      <c r="BO9" s="18">
        <f t="shared" si="16"/>
        <v>0</v>
      </c>
      <c r="BP9" s="4" t="s">
        <v>382</v>
      </c>
      <c r="BQ9" s="53">
        <f t="shared" ref="BQ9:CB9" si="17">SUM(BQ10:BQ13)</f>
        <v>2.3791335836782944E-6</v>
      </c>
      <c r="BR9" s="53">
        <f t="shared" si="17"/>
        <v>9.1130503223136057E-5</v>
      </c>
      <c r="BS9" s="53">
        <f t="shared" si="17"/>
        <v>16.890442993910977</v>
      </c>
      <c r="BT9" s="53">
        <f t="shared" si="17"/>
        <v>1.073718545987316E-2</v>
      </c>
      <c r="BU9" s="53">
        <f t="shared" si="17"/>
        <v>0</v>
      </c>
      <c r="BV9" s="53">
        <f t="shared" si="17"/>
        <v>3.5443027947766178E-3</v>
      </c>
      <c r="BW9" s="53">
        <f t="shared" si="17"/>
        <v>0</v>
      </c>
      <c r="BX9" s="53">
        <f t="shared" si="17"/>
        <v>1.700793101345029</v>
      </c>
      <c r="BY9" s="53">
        <f t="shared" si="17"/>
        <v>6.7163807396196186E-5</v>
      </c>
      <c r="BZ9" s="53">
        <f t="shared" si="17"/>
        <v>18.60567825695486</v>
      </c>
      <c r="CA9" s="53">
        <f t="shared" si="17"/>
        <v>16.904885155609829</v>
      </c>
      <c r="CB9" s="53">
        <f t="shared" si="17"/>
        <v>6.0902841709841594E-2</v>
      </c>
      <c r="CC9" s="4" t="s">
        <v>382</v>
      </c>
      <c r="CD9" s="53">
        <f t="shared" ref="CD9:CP9" si="18">SUM(CD10:CD13)</f>
        <v>1.6810798261196629E-6</v>
      </c>
      <c r="CE9" s="53">
        <f t="shared" si="18"/>
        <v>5.1126207451214462E-5</v>
      </c>
      <c r="CF9" s="53">
        <f t="shared" si="18"/>
        <v>10.236663629194986</v>
      </c>
      <c r="CG9" s="53">
        <f t="shared" si="18"/>
        <v>6.1087978874992946E-3</v>
      </c>
      <c r="CH9" s="53">
        <f t="shared" si="18"/>
        <v>0</v>
      </c>
      <c r="CI9" s="53">
        <f t="shared" si="18"/>
        <v>1.2926589610286958E-3</v>
      </c>
      <c r="CJ9" s="53">
        <f t="shared" si="18"/>
        <v>0</v>
      </c>
      <c r="CK9" s="53">
        <f t="shared" si="18"/>
        <v>0.60331267424150725</v>
      </c>
      <c r="CL9" s="53">
        <f t="shared" si="18"/>
        <v>0</v>
      </c>
      <c r="CM9" s="53">
        <f t="shared" si="18"/>
        <v>0</v>
      </c>
      <c r="CN9" s="53">
        <f t="shared" si="18"/>
        <v>10.847430567572298</v>
      </c>
      <c r="CO9" s="53">
        <f t="shared" si="18"/>
        <v>10.24411789333079</v>
      </c>
      <c r="CP9" s="53">
        <f t="shared" si="18"/>
        <v>4.9428935151959688E-2</v>
      </c>
      <c r="CQ9" s="4" t="s">
        <v>382</v>
      </c>
      <c r="CR9" s="53">
        <f t="shared" ref="CR9:CW9" si="19">SUM(CR10:CR13)</f>
        <v>7.6859853886315074E-7</v>
      </c>
      <c r="CS9" s="53">
        <f t="shared" si="19"/>
        <v>2.3375170966938146E-5</v>
      </c>
      <c r="CT9" s="53">
        <f t="shared" si="19"/>
        <v>4.6802564553961705</v>
      </c>
      <c r="CU9" s="53">
        <f t="shared" si="19"/>
        <v>2.7929745260104289E-3</v>
      </c>
      <c r="CV9" s="53">
        <f t="shared" si="19"/>
        <v>0</v>
      </c>
      <c r="CW9" s="53">
        <f t="shared" si="19"/>
        <v>5.9101047627722371E-4</v>
      </c>
      <c r="CX9" s="53"/>
      <c r="CY9" s="53">
        <f t="shared" ref="CY9" si="20">SUM(CY10:CY13)</f>
        <v>9.5120310766937943E-2</v>
      </c>
      <c r="CZ9" s="53">
        <f>SUM(CZ10:CZ13)</f>
        <v>0</v>
      </c>
      <c r="DA9" s="53"/>
      <c r="DB9" s="53">
        <f>SUM(DB10:DB13)</f>
        <v>4.7787848949349021</v>
      </c>
      <c r="DC9" s="53">
        <f t="shared" ref="DC9:DC15" si="21">SUM(CR9:CX9,CZ9)</f>
        <v>4.6836645841679641</v>
      </c>
      <c r="DE9" s="53">
        <f>SUM(DE10:DE13)</f>
        <v>4.6836645841679641</v>
      </c>
      <c r="DF9" s="53">
        <f>SUM(DF10:DF13)</f>
        <v>0</v>
      </c>
      <c r="DG9" s="53">
        <f t="shared" ref="DG9" si="22">SUM(DG10:DG13)</f>
        <v>0</v>
      </c>
      <c r="DH9" s="9"/>
      <c r="DI9" s="4" t="s">
        <v>382</v>
      </c>
      <c r="DJ9" s="53">
        <f t="shared" ref="DJ9:DO9" si="23">SUM(DJ10:DJ13)</f>
        <v>0</v>
      </c>
      <c r="DK9" s="53">
        <f t="shared" si="23"/>
        <v>0</v>
      </c>
      <c r="DL9" s="53">
        <f t="shared" si="23"/>
        <v>0</v>
      </c>
      <c r="DM9" s="53">
        <f t="shared" si="23"/>
        <v>0</v>
      </c>
      <c r="DN9" s="53">
        <f t="shared" si="23"/>
        <v>0</v>
      </c>
      <c r="DO9" s="53">
        <f t="shared" si="23"/>
        <v>0</v>
      </c>
      <c r="DP9" s="53"/>
      <c r="DQ9" s="53">
        <f t="shared" ref="DQ9" si="24">SUM(DQ10:DQ13)</f>
        <v>0</v>
      </c>
      <c r="DR9" s="53">
        <f>SUM(DR10:DR13)</f>
        <v>0</v>
      </c>
      <c r="DS9" s="53"/>
      <c r="DT9" s="53">
        <f>SUM(DT10:DT13)</f>
        <v>0</v>
      </c>
      <c r="DU9" s="53">
        <f>SUM(DU10:DU13)</f>
        <v>0</v>
      </c>
      <c r="DV9" s="54"/>
      <c r="DW9" s="53">
        <f>SUM(DW10:DW13)</f>
        <v>0</v>
      </c>
      <c r="DX9" s="53">
        <f>SUM(DX10:DX13)</f>
        <v>0</v>
      </c>
      <c r="DY9" s="53">
        <f t="shared" ref="DY9" si="25">SUM(DY10:DY13)</f>
        <v>0</v>
      </c>
    </row>
    <row r="10" spans="1:129" s="4" customFormat="1">
      <c r="A10" s="19" t="s">
        <v>22</v>
      </c>
      <c r="B10" s="21" t="s">
        <v>23</v>
      </c>
      <c r="C10" s="21" t="s">
        <v>24</v>
      </c>
      <c r="D10" s="21" t="s">
        <v>308</v>
      </c>
      <c r="E10" s="22">
        <v>0</v>
      </c>
      <c r="F10" s="22">
        <v>0.82787558370119851</v>
      </c>
      <c r="G10" s="22">
        <v>159486.85575836353</v>
      </c>
      <c r="H10" s="22">
        <v>168.79656624363963</v>
      </c>
      <c r="I10" s="22">
        <v>0</v>
      </c>
      <c r="J10" s="22">
        <v>45.276882408458285</v>
      </c>
      <c r="K10" s="22">
        <v>0</v>
      </c>
      <c r="L10" s="22">
        <v>9681.0019477609985</v>
      </c>
      <c r="M10" s="22">
        <v>0.55471125790863618</v>
      </c>
      <c r="N10" s="22">
        <v>169383.31374161821</v>
      </c>
      <c r="O10" s="2">
        <v>169383.31374161824</v>
      </c>
      <c r="P10" s="2">
        <v>324.78440882057657</v>
      </c>
      <c r="Q10" s="2">
        <v>159980.43673342775</v>
      </c>
      <c r="R10" s="2" t="s">
        <v>25</v>
      </c>
      <c r="S10" s="22">
        <v>0</v>
      </c>
      <c r="T10" s="22">
        <v>0.46445632734481651</v>
      </c>
      <c r="U10" s="22">
        <v>89657.828930236443</v>
      </c>
      <c r="V10" s="22">
        <v>94.698569168375144</v>
      </c>
      <c r="W10" s="22">
        <v>0</v>
      </c>
      <c r="X10" s="22">
        <v>25.201433212062476</v>
      </c>
      <c r="Y10" s="22">
        <v>6278.6041842891818</v>
      </c>
      <c r="Z10" s="22">
        <v>8580.7828140298898</v>
      </c>
      <c r="AA10" s="22">
        <v>0</v>
      </c>
      <c r="AB10" s="22">
        <v>0</v>
      </c>
      <c r="AC10" s="22">
        <f>SUM(S10:AB10)</f>
        <v>104637.58038726331</v>
      </c>
      <c r="AD10" s="2">
        <f t="shared" ref="AD10:AD15" si="26">AC10</f>
        <v>104637.58038726331</v>
      </c>
      <c r="AE10" s="2">
        <f t="shared" ref="AE10:AE15" si="27">AC10*P10/N10</f>
        <v>200.63755948436554</v>
      </c>
      <c r="AF10" s="2" t="s">
        <v>25</v>
      </c>
      <c r="AG10" s="22">
        <v>0</v>
      </c>
      <c r="AH10" s="22">
        <v>0.21235187586955231</v>
      </c>
      <c r="AI10" s="22">
        <v>40992.03098075655</v>
      </c>
      <c r="AJ10" s="22">
        <v>43.296683931571465</v>
      </c>
      <c r="AK10" s="22">
        <v>0</v>
      </c>
      <c r="AL10" s="22">
        <v>11.522227822315037</v>
      </c>
      <c r="AM10" s="22">
        <v>16856.986198423321</v>
      </c>
      <c r="AN10" s="22">
        <v>15775.949220201937</v>
      </c>
      <c r="AO10" s="22">
        <v>0</v>
      </c>
      <c r="AP10" s="22">
        <v>1587.704346902801</v>
      </c>
      <c r="AQ10" s="22">
        <v>846.77565168149408</v>
      </c>
      <c r="AR10" s="22">
        <f t="shared" ref="AR10:AR15" si="28">SUM(AG10:AQ10)</f>
        <v>76114.477661595854</v>
      </c>
      <c r="AS10" s="2">
        <f t="shared" ref="AS10:AS15" si="29">AR10-AT10</f>
        <v>76114.477661595854</v>
      </c>
      <c r="AT10" s="2"/>
      <c r="AU10" s="2"/>
      <c r="AV10" s="2"/>
      <c r="AW10" s="2"/>
      <c r="AX10" s="2" t="s">
        <v>25</v>
      </c>
      <c r="AY10" s="22">
        <v>0</v>
      </c>
      <c r="AZ10" s="22">
        <v>0</v>
      </c>
      <c r="BA10" s="22">
        <v>0</v>
      </c>
      <c r="BB10" s="22">
        <v>0</v>
      </c>
      <c r="BC10" s="22">
        <v>0</v>
      </c>
      <c r="BD10" s="22">
        <v>0</v>
      </c>
      <c r="BE10" s="22">
        <v>25467.614113478616</v>
      </c>
      <c r="BF10" s="22">
        <v>21582.164295795239</v>
      </c>
      <c r="BG10" s="22">
        <v>0</v>
      </c>
      <c r="BH10" s="22">
        <v>2891.2009119294958</v>
      </c>
      <c r="BI10" s="22">
        <v>1541.9738196957314</v>
      </c>
      <c r="BJ10" s="22">
        <f t="shared" ref="BJ10:BJ15" si="30">SUM(AY10:BI10)</f>
        <v>51482.953140899088</v>
      </c>
      <c r="BK10" s="2">
        <f t="shared" ref="BK10:BK15" si="31">BJ10-BL10</f>
        <v>51482.953140899088</v>
      </c>
      <c r="BL10" s="2"/>
      <c r="BM10" s="2"/>
      <c r="BN10" s="2"/>
      <c r="BO10" s="2"/>
      <c r="BP10" s="4" t="s">
        <v>25</v>
      </c>
      <c r="BQ10" s="52">
        <v>0</v>
      </c>
      <c r="BR10" s="52">
        <v>9.1130503223136057E-5</v>
      </c>
      <c r="BS10" s="52">
        <v>11.113207127479589</v>
      </c>
      <c r="BT10" s="52">
        <v>1.0109680406820164E-2</v>
      </c>
      <c r="BU10" s="52">
        <v>0</v>
      </c>
      <c r="BV10" s="52">
        <v>2.3223904482036501E-3</v>
      </c>
      <c r="BW10" s="52">
        <v>0</v>
      </c>
      <c r="BX10" s="52">
        <v>1.3213339482437332</v>
      </c>
      <c r="BY10" s="52">
        <v>2.1639191810412779E-7</v>
      </c>
      <c r="BZ10" s="52">
        <f t="shared" ref="BZ10:BZ15" si="32">SUM(BQ10:BY10)</f>
        <v>12.447064493473487</v>
      </c>
      <c r="CA10" s="52">
        <f>BZ10-BX10</f>
        <v>11.125730545229754</v>
      </c>
      <c r="CB10" s="52">
        <v>2.36824827829165E-2</v>
      </c>
      <c r="CC10" s="4" t="s">
        <v>25</v>
      </c>
      <c r="CD10" s="52">
        <v>0</v>
      </c>
      <c r="CE10" s="52">
        <v>5.1126207451214462E-5</v>
      </c>
      <c r="CF10" s="52">
        <v>6.2474491629044389</v>
      </c>
      <c r="CG10" s="52">
        <v>5.6717520420028131E-3</v>
      </c>
      <c r="CH10" s="52">
        <v>0</v>
      </c>
      <c r="CI10" s="52">
        <v>1.2926589610286958E-3</v>
      </c>
      <c r="CJ10" s="52"/>
      <c r="CK10" s="52">
        <v>0.34231668808826743</v>
      </c>
      <c r="CL10" s="52">
        <v>0</v>
      </c>
      <c r="CM10" s="52"/>
      <c r="CN10" s="52">
        <f t="shared" ref="CN10:CN15" si="33">SUM(CD10:CM10)</f>
        <v>6.5967813882031887</v>
      </c>
      <c r="CO10" s="52">
        <f t="shared" ref="CO10:CO15" si="34">SUM(CD10:CJ10,CL10)</f>
        <v>6.2544647001149212</v>
      </c>
      <c r="CP10" s="52">
        <v>1.4629998913278612E-2</v>
      </c>
      <c r="CQ10" s="4" t="s">
        <v>25</v>
      </c>
      <c r="CR10" s="52">
        <v>0</v>
      </c>
      <c r="CS10" s="52">
        <v>2.3375170966938146E-5</v>
      </c>
      <c r="CT10" s="52">
        <v>2.8563666184215841</v>
      </c>
      <c r="CU10" s="52">
        <v>2.5931548666191357E-3</v>
      </c>
      <c r="CV10" s="52">
        <v>0</v>
      </c>
      <c r="CW10" s="52">
        <v>5.9101047627722371E-4</v>
      </c>
      <c r="CX10" s="52"/>
      <c r="CY10" s="52">
        <v>5.8880316942753065E-2</v>
      </c>
      <c r="CZ10" s="52">
        <v>0</v>
      </c>
      <c r="DA10" s="52"/>
      <c r="DB10" s="52">
        <f t="shared" ref="DB10:DB15" si="35">SUM(CR10:DA10)</f>
        <v>2.9184544758782005</v>
      </c>
      <c r="DC10" s="52">
        <f t="shared" si="21"/>
        <v>2.8595741589354473</v>
      </c>
      <c r="DE10" s="54">
        <f>DC10*(1-DD10)</f>
        <v>2.8595741589354473</v>
      </c>
      <c r="DF10" s="54">
        <f>DC10*DD10</f>
        <v>0</v>
      </c>
      <c r="DG10" s="52">
        <v>0</v>
      </c>
      <c r="DI10" s="4" t="s">
        <v>25</v>
      </c>
      <c r="DJ10" s="52">
        <v>0</v>
      </c>
      <c r="DK10" s="52">
        <v>0</v>
      </c>
      <c r="DL10" s="52">
        <v>0</v>
      </c>
      <c r="DM10" s="52">
        <v>0</v>
      </c>
      <c r="DN10" s="52">
        <v>0</v>
      </c>
      <c r="DO10" s="52">
        <v>0</v>
      </c>
      <c r="DP10" s="52"/>
      <c r="DQ10" s="52">
        <v>0</v>
      </c>
      <c r="DR10" s="52">
        <v>0</v>
      </c>
      <c r="DS10" s="52"/>
      <c r="DT10" s="52">
        <f t="shared" ref="DT10:DT15" si="36">SUM(DJ10:DS10)</f>
        <v>0</v>
      </c>
      <c r="DU10" s="52">
        <f t="shared" ref="DU10:DU15" si="37">DT10-DQ10</f>
        <v>0</v>
      </c>
      <c r="DV10" s="54"/>
      <c r="DW10" s="54">
        <f>DU10*(1-DV10)</f>
        <v>0</v>
      </c>
      <c r="DX10" s="54">
        <f>DU10*DV10</f>
        <v>0</v>
      </c>
      <c r="DY10" s="52">
        <v>0</v>
      </c>
    </row>
    <row r="11" spans="1:129" s="4" customFormat="1">
      <c r="A11" s="19" t="s">
        <v>26</v>
      </c>
      <c r="B11" s="21" t="s">
        <v>27</v>
      </c>
      <c r="C11" s="21" t="s">
        <v>28</v>
      </c>
      <c r="D11" s="21" t="s">
        <v>309</v>
      </c>
      <c r="E11" s="22">
        <v>0</v>
      </c>
      <c r="F11" s="22">
        <v>0</v>
      </c>
      <c r="G11" s="22">
        <v>8572.680067448513</v>
      </c>
      <c r="H11" s="22">
        <v>0</v>
      </c>
      <c r="I11" s="22">
        <v>0</v>
      </c>
      <c r="J11" s="22">
        <v>0</v>
      </c>
      <c r="K11" s="22">
        <v>0</v>
      </c>
      <c r="L11" s="22">
        <v>402.40990161141264</v>
      </c>
      <c r="M11" s="22">
        <v>0</v>
      </c>
      <c r="N11" s="22">
        <v>8975.0899690599254</v>
      </c>
      <c r="O11" s="2">
        <v>8975.0899690599272</v>
      </c>
      <c r="P11" s="2">
        <v>5.9055638599806155</v>
      </c>
      <c r="Q11" s="2">
        <v>8578.5856313084932</v>
      </c>
      <c r="R11" s="2" t="s">
        <v>29</v>
      </c>
      <c r="S11" s="22">
        <v>0</v>
      </c>
      <c r="T11" s="22">
        <v>0</v>
      </c>
      <c r="U11" s="22">
        <v>5106.0938902969201</v>
      </c>
      <c r="V11" s="22">
        <v>0</v>
      </c>
      <c r="W11" s="22">
        <v>0</v>
      </c>
      <c r="X11" s="22">
        <v>0</v>
      </c>
      <c r="Y11" s="22">
        <v>336.67581324187142</v>
      </c>
      <c r="Z11" s="22">
        <v>805.9023980825142</v>
      </c>
      <c r="AA11" s="22">
        <v>0</v>
      </c>
      <c r="AB11" s="22">
        <v>0</v>
      </c>
      <c r="AC11" s="22">
        <f t="shared" ref="AC11:AC15" si="38">SUM(S11:AB11)</f>
        <v>6248.672101621306</v>
      </c>
      <c r="AD11" s="2">
        <f t="shared" si="26"/>
        <v>6248.672101621306</v>
      </c>
      <c r="AE11" s="2">
        <f t="shared" si="27"/>
        <v>4.1115946763115412</v>
      </c>
      <c r="AF11" s="2" t="s">
        <v>29</v>
      </c>
      <c r="AG11" s="22">
        <v>0</v>
      </c>
      <c r="AH11" s="22">
        <v>0</v>
      </c>
      <c r="AI11" s="22">
        <v>2334.5329843372451</v>
      </c>
      <c r="AJ11" s="22">
        <v>0</v>
      </c>
      <c r="AK11" s="22">
        <v>0</v>
      </c>
      <c r="AL11" s="22">
        <v>0</v>
      </c>
      <c r="AM11" s="22">
        <v>322.37305280869651</v>
      </c>
      <c r="AN11" s="22">
        <v>1139.6993993509934</v>
      </c>
      <c r="AO11" s="22">
        <v>0</v>
      </c>
      <c r="AP11" s="22">
        <v>607.3326830387922</v>
      </c>
      <c r="AQ11" s="22">
        <v>448.78411616111538</v>
      </c>
      <c r="AR11" s="22">
        <f t="shared" si="28"/>
        <v>4852.7222356968423</v>
      </c>
      <c r="AS11" s="2">
        <f t="shared" si="29"/>
        <v>4852.7222356968423</v>
      </c>
      <c r="AT11" s="2"/>
      <c r="AU11" s="2"/>
      <c r="AV11" s="2"/>
      <c r="AW11" s="2"/>
      <c r="AX11" s="2" t="s">
        <v>29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306.73396188495462</v>
      </c>
      <c r="BF11" s="22">
        <v>1404.4175914755926</v>
      </c>
      <c r="BG11" s="22">
        <v>0</v>
      </c>
      <c r="BH11" s="22">
        <v>1105.9494864215048</v>
      </c>
      <c r="BI11" s="22">
        <v>817.23341529902837</v>
      </c>
      <c r="BJ11" s="22">
        <f t="shared" si="30"/>
        <v>3634.3344550810803</v>
      </c>
      <c r="BK11" s="2">
        <f t="shared" si="31"/>
        <v>3634.3344550810803</v>
      </c>
      <c r="BL11" s="2"/>
      <c r="BM11" s="2"/>
      <c r="BN11" s="2"/>
      <c r="BO11" s="2"/>
      <c r="BP11" s="4" t="s">
        <v>30</v>
      </c>
      <c r="BQ11" s="52">
        <v>0</v>
      </c>
      <c r="BR11" s="52">
        <v>0</v>
      </c>
      <c r="BS11" s="52">
        <v>0.5892603728016188</v>
      </c>
      <c r="BT11" s="52">
        <v>0</v>
      </c>
      <c r="BU11" s="52">
        <v>0</v>
      </c>
      <c r="BV11" s="52">
        <v>0</v>
      </c>
      <c r="BW11" s="52">
        <v>0</v>
      </c>
      <c r="BX11" s="52">
        <v>5.4973801424654474E-2</v>
      </c>
      <c r="BY11" s="52">
        <v>0</v>
      </c>
      <c r="BZ11" s="52">
        <f t="shared" si="32"/>
        <v>0.64423417422627327</v>
      </c>
      <c r="CA11" s="52">
        <f t="shared" ref="CA10:CA15" si="39">BZ11-BX11</f>
        <v>0.5892603728016188</v>
      </c>
      <c r="CB11" s="52">
        <v>4.3061923737437773E-4</v>
      </c>
      <c r="CC11" s="4" t="s">
        <v>30</v>
      </c>
      <c r="CD11" s="52">
        <v>0</v>
      </c>
      <c r="CE11" s="52">
        <v>0</v>
      </c>
      <c r="CF11" s="52">
        <v>0.35097761326487315</v>
      </c>
      <c r="CG11" s="52">
        <v>0</v>
      </c>
      <c r="CH11" s="52">
        <v>0</v>
      </c>
      <c r="CI11" s="52">
        <v>0</v>
      </c>
      <c r="CJ11" s="52"/>
      <c r="CK11" s="52">
        <v>3.2150194896313544E-2</v>
      </c>
      <c r="CL11" s="52">
        <v>0</v>
      </c>
      <c r="CM11" s="52"/>
      <c r="CN11" s="52">
        <f t="shared" si="33"/>
        <v>0.38312780816118669</v>
      </c>
      <c r="CO11" s="52">
        <f t="shared" si="34"/>
        <v>0.35097761326487315</v>
      </c>
      <c r="CP11" s="52">
        <v>2.9980740296518257E-4</v>
      </c>
      <c r="CQ11" s="4" t="s">
        <v>30</v>
      </c>
      <c r="CR11" s="52">
        <v>0</v>
      </c>
      <c r="CS11" s="52">
        <v>0</v>
      </c>
      <c r="CT11" s="52">
        <v>0.16046881090217505</v>
      </c>
      <c r="CU11" s="52">
        <v>0</v>
      </c>
      <c r="CV11" s="52">
        <v>0</v>
      </c>
      <c r="CW11" s="52">
        <v>0</v>
      </c>
      <c r="CX11" s="52"/>
      <c r="CY11" s="52">
        <v>4.2536814055739464E-3</v>
      </c>
      <c r="CZ11" s="52">
        <v>0</v>
      </c>
      <c r="DA11" s="52"/>
      <c r="DB11" s="52">
        <f t="shared" si="35"/>
        <v>0.16472249230774899</v>
      </c>
      <c r="DC11" s="52">
        <f t="shared" si="21"/>
        <v>0.16046881090217505</v>
      </c>
      <c r="DE11" s="54">
        <f t="shared" ref="DE11:DE13" si="40">DC11*(1-DD11)</f>
        <v>0.16046881090217505</v>
      </c>
      <c r="DF11" s="54">
        <f t="shared" ref="DF11:DF15" si="41">DC11*DD11</f>
        <v>0</v>
      </c>
      <c r="DG11" s="52">
        <v>0</v>
      </c>
      <c r="DI11" s="4" t="s">
        <v>30</v>
      </c>
      <c r="DJ11" s="52">
        <v>0</v>
      </c>
      <c r="DK11" s="52">
        <v>0</v>
      </c>
      <c r="DL11" s="52">
        <v>0</v>
      </c>
      <c r="DM11" s="52">
        <v>0</v>
      </c>
      <c r="DN11" s="52">
        <v>0</v>
      </c>
      <c r="DO11" s="52">
        <v>0</v>
      </c>
      <c r="DP11" s="52"/>
      <c r="DQ11" s="52">
        <v>0</v>
      </c>
      <c r="DR11" s="52">
        <v>0</v>
      </c>
      <c r="DS11" s="52"/>
      <c r="DT11" s="52">
        <f t="shared" si="36"/>
        <v>0</v>
      </c>
      <c r="DU11" s="52">
        <f t="shared" si="37"/>
        <v>0</v>
      </c>
      <c r="DV11" s="54"/>
      <c r="DW11" s="54">
        <f t="shared" ref="DW11:DW15" si="42">DU11*(1-DV11)</f>
        <v>0</v>
      </c>
      <c r="DX11" s="54">
        <f t="shared" ref="DX11:DX15" si="43">DU11*DV11</f>
        <v>0</v>
      </c>
      <c r="DY11" s="52">
        <v>0</v>
      </c>
    </row>
    <row r="12" spans="1:129" s="4" customFormat="1">
      <c r="A12" s="19" t="s">
        <v>31</v>
      </c>
      <c r="B12" s="21" t="s">
        <v>32</v>
      </c>
      <c r="C12" s="21" t="s">
        <v>33</v>
      </c>
      <c r="D12" s="21" t="s">
        <v>310</v>
      </c>
      <c r="E12" s="22">
        <v>0</v>
      </c>
      <c r="F12" s="22">
        <v>0</v>
      </c>
      <c r="G12" s="22">
        <v>61336.066561090571</v>
      </c>
      <c r="H12" s="22">
        <v>6.3998805280498861</v>
      </c>
      <c r="I12" s="22">
        <v>0</v>
      </c>
      <c r="J12" s="22">
        <v>3.7944589256569836</v>
      </c>
      <c r="K12" s="22">
        <v>0</v>
      </c>
      <c r="L12" s="22">
        <v>118.68048033272115</v>
      </c>
      <c r="M12" s="22">
        <v>5.2736747832917596E-2</v>
      </c>
      <c r="N12" s="22">
        <v>61464.994117624832</v>
      </c>
      <c r="O12" s="2">
        <v>61464.994117624839</v>
      </c>
      <c r="P12" s="2">
        <v>504.53890182295072</v>
      </c>
      <c r="Q12" s="2">
        <v>61847.005343441575</v>
      </c>
      <c r="R12" s="2" t="s">
        <v>34</v>
      </c>
      <c r="S12" s="22">
        <v>1.8553943563405409E-2</v>
      </c>
      <c r="T12" s="22">
        <v>0</v>
      </c>
      <c r="U12" s="22">
        <v>51683.622079103312</v>
      </c>
      <c r="V12" s="22">
        <v>7.2970799792803271</v>
      </c>
      <c r="W12" s="22">
        <v>0</v>
      </c>
      <c r="X12" s="22">
        <v>0</v>
      </c>
      <c r="Y12" s="22">
        <v>210.67852316398879</v>
      </c>
      <c r="Z12" s="22">
        <v>5736.4309161993433</v>
      </c>
      <c r="AA12" s="22">
        <v>0</v>
      </c>
      <c r="AB12" s="22">
        <v>0</v>
      </c>
      <c r="AC12" s="22">
        <f t="shared" si="38"/>
        <v>57638.047152389488</v>
      </c>
      <c r="AD12" s="2">
        <f t="shared" si="26"/>
        <v>57638.047152389488</v>
      </c>
      <c r="AE12" s="2">
        <f t="shared" si="27"/>
        <v>473.1251898899522</v>
      </c>
      <c r="AF12" s="2" t="s">
        <v>34</v>
      </c>
      <c r="AG12" s="22">
        <v>8.4829605896226262E-3</v>
      </c>
      <c r="AH12" s="22">
        <v>0</v>
      </c>
      <c r="AI12" s="22">
        <v>23630.023866770527</v>
      </c>
      <c r="AJ12" s="22">
        <v>3.3362633486526549</v>
      </c>
      <c r="AK12" s="22">
        <v>0</v>
      </c>
      <c r="AL12" s="22">
        <v>0</v>
      </c>
      <c r="AM12" s="22">
        <v>991.66305060366926</v>
      </c>
      <c r="AN12" s="22">
        <v>8570.1719463931659</v>
      </c>
      <c r="AO12" s="22">
        <v>0</v>
      </c>
      <c r="AP12" s="22">
        <v>14617.86791763488</v>
      </c>
      <c r="AQ12" s="22">
        <v>1926.4665788947718</v>
      </c>
      <c r="AR12" s="22">
        <f t="shared" si="28"/>
        <v>49739.538106606269</v>
      </c>
      <c r="AS12" s="2">
        <f t="shared" si="29"/>
        <v>49739.538106606269</v>
      </c>
      <c r="AT12" s="2"/>
      <c r="AU12" s="2"/>
      <c r="AV12" s="2"/>
      <c r="AW12" s="2"/>
      <c r="AX12" s="2" t="s">
        <v>34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1630.4087248968622</v>
      </c>
      <c r="BF12" s="22">
        <v>10830.265757795709</v>
      </c>
      <c r="BG12" s="22">
        <v>0</v>
      </c>
      <c r="BH12" s="22">
        <v>26619.057342996759</v>
      </c>
      <c r="BI12" s="22">
        <v>3508.0850792954598</v>
      </c>
      <c r="BJ12" s="22">
        <f t="shared" si="30"/>
        <v>42587.816904984793</v>
      </c>
      <c r="BK12" s="2">
        <f t="shared" si="31"/>
        <v>42587.816904984793</v>
      </c>
      <c r="BL12" s="2"/>
      <c r="BM12" s="2"/>
      <c r="BN12" s="2"/>
      <c r="BO12" s="2"/>
      <c r="BP12" s="4" t="s">
        <v>35</v>
      </c>
      <c r="BQ12" s="52">
        <v>0</v>
      </c>
      <c r="BR12" s="52">
        <v>0</v>
      </c>
      <c r="BS12" s="52">
        <v>4.3177147576973196</v>
      </c>
      <c r="BT12" s="52">
        <v>3.8330965323116634E-4</v>
      </c>
      <c r="BU12" s="52">
        <v>0</v>
      </c>
      <c r="BV12" s="52">
        <v>1.9475798960909928E-4</v>
      </c>
      <c r="BW12" s="52">
        <v>0</v>
      </c>
      <c r="BX12" s="52">
        <v>1.6140852539303089E-2</v>
      </c>
      <c r="BY12" s="52">
        <v>2.1879721104177438E-6</v>
      </c>
      <c r="BZ12" s="52">
        <f t="shared" si="32"/>
        <v>4.3344358658515736</v>
      </c>
      <c r="CA12" s="52">
        <f t="shared" si="39"/>
        <v>4.3182950133122704</v>
      </c>
      <c r="CB12" s="52">
        <v>3.6789739689550717E-2</v>
      </c>
      <c r="CC12" s="4" t="s">
        <v>35</v>
      </c>
      <c r="CD12" s="52">
        <v>1.6810798261196629E-6</v>
      </c>
      <c r="CE12" s="52">
        <v>0</v>
      </c>
      <c r="CF12" s="52">
        <v>3.6382368530256737</v>
      </c>
      <c r="CG12" s="52">
        <v>4.3704584549648115E-4</v>
      </c>
      <c r="CH12" s="52">
        <v>0</v>
      </c>
      <c r="CI12" s="52">
        <v>0</v>
      </c>
      <c r="CJ12" s="52"/>
      <c r="CK12" s="52">
        <v>0.22884579125692628</v>
      </c>
      <c r="CL12" s="52">
        <v>0</v>
      </c>
      <c r="CM12" s="52"/>
      <c r="CN12" s="52">
        <f t="shared" si="33"/>
        <v>3.8675213712079226</v>
      </c>
      <c r="CO12" s="52">
        <f t="shared" si="34"/>
        <v>3.6386755799509962</v>
      </c>
      <c r="CP12" s="52">
        <v>3.4499128835715896E-2</v>
      </c>
      <c r="CQ12" s="4" t="s">
        <v>35</v>
      </c>
      <c r="CR12" s="52">
        <v>7.6859853886315074E-7</v>
      </c>
      <c r="CS12" s="52">
        <v>0</v>
      </c>
      <c r="CT12" s="52">
        <v>1.6634210260724114</v>
      </c>
      <c r="CU12" s="52">
        <v>1.9981965939129336E-4</v>
      </c>
      <c r="CV12" s="52">
        <v>0</v>
      </c>
      <c r="CW12" s="52">
        <v>0</v>
      </c>
      <c r="CX12" s="52"/>
      <c r="CY12" s="52">
        <v>3.198631241861092E-2</v>
      </c>
      <c r="CZ12" s="52">
        <v>0</v>
      </c>
      <c r="DA12" s="52"/>
      <c r="DB12" s="52">
        <f t="shared" si="35"/>
        <v>1.6956079267489523</v>
      </c>
      <c r="DC12" s="52">
        <f t="shared" si="21"/>
        <v>1.6636216143303415</v>
      </c>
      <c r="DE12" s="54">
        <f t="shared" si="40"/>
        <v>1.6636216143303415</v>
      </c>
      <c r="DF12" s="54">
        <f t="shared" si="41"/>
        <v>0</v>
      </c>
      <c r="DG12" s="52">
        <v>0</v>
      </c>
      <c r="DI12" s="4" t="s">
        <v>35</v>
      </c>
      <c r="DJ12" s="52">
        <v>0</v>
      </c>
      <c r="DK12" s="52">
        <v>0</v>
      </c>
      <c r="DL12" s="52">
        <v>0</v>
      </c>
      <c r="DM12" s="52">
        <v>0</v>
      </c>
      <c r="DN12" s="52">
        <v>0</v>
      </c>
      <c r="DO12" s="52">
        <v>0</v>
      </c>
      <c r="DP12" s="52"/>
      <c r="DQ12" s="52">
        <v>0</v>
      </c>
      <c r="DR12" s="52">
        <v>0</v>
      </c>
      <c r="DS12" s="52"/>
      <c r="DT12" s="52">
        <f t="shared" si="36"/>
        <v>0</v>
      </c>
      <c r="DU12" s="52">
        <f t="shared" si="37"/>
        <v>0</v>
      </c>
      <c r="DV12" s="54"/>
      <c r="DW12" s="54">
        <f t="shared" si="42"/>
        <v>0</v>
      </c>
      <c r="DX12" s="54">
        <f t="shared" si="43"/>
        <v>0</v>
      </c>
      <c r="DY12" s="52">
        <v>0</v>
      </c>
    </row>
    <row r="13" spans="1:129" s="4" customFormat="1">
      <c r="A13" s="19" t="s">
        <v>36</v>
      </c>
      <c r="B13" s="21" t="s">
        <v>37</v>
      </c>
      <c r="C13" s="21" t="s">
        <v>38</v>
      </c>
      <c r="D13" s="21" t="s">
        <v>311</v>
      </c>
      <c r="E13" s="22">
        <v>2.6639064557454406E-2</v>
      </c>
      <c r="F13" s="22">
        <v>0</v>
      </c>
      <c r="G13" s="22">
        <v>12364.823718396821</v>
      </c>
      <c r="H13" s="22">
        <v>4.0769964757345658</v>
      </c>
      <c r="I13" s="22">
        <v>0</v>
      </c>
      <c r="J13" s="22">
        <v>20.026537801397634</v>
      </c>
      <c r="K13" s="22">
        <v>0</v>
      </c>
      <c r="L13" s="22">
        <v>2282.6553420157579</v>
      </c>
      <c r="M13" s="22">
        <v>1.5608985226183221</v>
      </c>
      <c r="N13" s="22">
        <v>14673.170132276888</v>
      </c>
      <c r="O13" s="2">
        <v>14673.170132276889</v>
      </c>
      <c r="P13" s="2">
        <v>0</v>
      </c>
      <c r="Q13" s="2">
        <v>12368.900714872556</v>
      </c>
      <c r="R13" s="2" t="s">
        <v>39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/>
      <c r="AD13" s="2">
        <f t="shared" si="26"/>
        <v>0</v>
      </c>
      <c r="AE13" s="2">
        <f t="shared" si="27"/>
        <v>0</v>
      </c>
      <c r="AF13" s="2" t="s">
        <v>39</v>
      </c>
      <c r="AG13" s="22">
        <v>0</v>
      </c>
      <c r="AH13" s="22">
        <v>0</v>
      </c>
      <c r="AI13" s="22">
        <v>0</v>
      </c>
      <c r="AJ13" s="22">
        <v>0</v>
      </c>
      <c r="AK13" s="22">
        <v>0</v>
      </c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f t="shared" si="28"/>
        <v>0</v>
      </c>
      <c r="AS13" s="2">
        <f t="shared" si="29"/>
        <v>0</v>
      </c>
      <c r="AT13" s="2"/>
      <c r="AU13" s="2"/>
      <c r="AV13" s="2"/>
      <c r="AW13" s="2"/>
      <c r="AX13" s="2" t="s">
        <v>39</v>
      </c>
      <c r="AY13" s="22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22">
        <f t="shared" si="30"/>
        <v>0</v>
      </c>
      <c r="BK13" s="2">
        <f t="shared" si="31"/>
        <v>0</v>
      </c>
      <c r="BL13" s="2"/>
      <c r="BM13" s="2"/>
      <c r="BN13" s="2"/>
      <c r="BO13" s="2"/>
      <c r="BP13" s="4" t="s">
        <v>39</v>
      </c>
      <c r="BQ13" s="52">
        <v>2.3791335836782944E-6</v>
      </c>
      <c r="BR13" s="52">
        <v>0</v>
      </c>
      <c r="BS13" s="52">
        <v>0.87026073593245001</v>
      </c>
      <c r="BT13" s="52">
        <v>2.4419539982183016E-4</v>
      </c>
      <c r="BU13" s="52">
        <v>0</v>
      </c>
      <c r="BV13" s="52">
        <v>1.0271543569638684E-3</v>
      </c>
      <c r="BW13" s="52">
        <v>0</v>
      </c>
      <c r="BX13" s="52">
        <v>0.30834449913733813</v>
      </c>
      <c r="BY13" s="52">
        <v>6.4759443367674315E-5</v>
      </c>
      <c r="BZ13" s="52">
        <f t="shared" si="32"/>
        <v>1.179943723403525</v>
      </c>
      <c r="CA13" s="52">
        <f t="shared" si="39"/>
        <v>0.87159922426618697</v>
      </c>
      <c r="CB13" s="52">
        <v>0</v>
      </c>
      <c r="CC13" s="4" t="s">
        <v>39</v>
      </c>
      <c r="CD13" s="52">
        <v>0</v>
      </c>
      <c r="CE13" s="52">
        <v>0</v>
      </c>
      <c r="CF13" s="52">
        <v>0</v>
      </c>
      <c r="CG13" s="52">
        <v>0</v>
      </c>
      <c r="CH13" s="52">
        <v>0</v>
      </c>
      <c r="CI13" s="52">
        <v>0</v>
      </c>
      <c r="CJ13" s="52"/>
      <c r="CK13" s="52">
        <v>0</v>
      </c>
      <c r="CL13" s="52">
        <v>0</v>
      </c>
      <c r="CM13" s="52"/>
      <c r="CN13" s="52">
        <f t="shared" si="33"/>
        <v>0</v>
      </c>
      <c r="CO13" s="52">
        <f t="shared" si="34"/>
        <v>0</v>
      </c>
      <c r="CP13" s="52">
        <v>0</v>
      </c>
      <c r="CQ13" s="4" t="s">
        <v>39</v>
      </c>
      <c r="CR13" s="52">
        <v>0</v>
      </c>
      <c r="CS13" s="52">
        <v>0</v>
      </c>
      <c r="CT13" s="52">
        <v>0</v>
      </c>
      <c r="CU13" s="52">
        <v>0</v>
      </c>
      <c r="CV13" s="52">
        <v>0</v>
      </c>
      <c r="CW13" s="52">
        <v>0</v>
      </c>
      <c r="CX13" s="52"/>
      <c r="CY13" s="52">
        <v>0</v>
      </c>
      <c r="CZ13" s="52">
        <v>0</v>
      </c>
      <c r="DA13" s="52"/>
      <c r="DB13" s="52">
        <f t="shared" si="35"/>
        <v>0</v>
      </c>
      <c r="DC13" s="52">
        <f t="shared" si="21"/>
        <v>0</v>
      </c>
      <c r="DE13" s="54">
        <f t="shared" si="40"/>
        <v>0</v>
      </c>
      <c r="DF13" s="54">
        <f t="shared" si="41"/>
        <v>0</v>
      </c>
      <c r="DG13" s="52">
        <v>0</v>
      </c>
      <c r="DI13" s="4" t="s">
        <v>39</v>
      </c>
      <c r="DJ13" s="52">
        <v>0</v>
      </c>
      <c r="DK13" s="52">
        <v>0</v>
      </c>
      <c r="DL13" s="52">
        <v>0</v>
      </c>
      <c r="DM13" s="52">
        <v>0</v>
      </c>
      <c r="DN13" s="52">
        <v>0</v>
      </c>
      <c r="DO13" s="52">
        <v>0</v>
      </c>
      <c r="DP13" s="52"/>
      <c r="DQ13" s="52">
        <v>0</v>
      </c>
      <c r="DR13" s="52">
        <v>0</v>
      </c>
      <c r="DS13" s="52"/>
      <c r="DT13" s="52">
        <f t="shared" si="36"/>
        <v>0</v>
      </c>
      <c r="DU13" s="52">
        <f t="shared" si="37"/>
        <v>0</v>
      </c>
      <c r="DV13" s="54"/>
      <c r="DW13" s="54">
        <f t="shared" si="42"/>
        <v>0</v>
      </c>
      <c r="DX13" s="54">
        <f t="shared" si="43"/>
        <v>0</v>
      </c>
      <c r="DY13" s="52">
        <v>0</v>
      </c>
    </row>
    <row r="14" spans="1:129" s="4" customFormat="1">
      <c r="A14" s="19" t="s">
        <v>40</v>
      </c>
      <c r="B14" s="21" t="s">
        <v>41</v>
      </c>
      <c r="C14" s="83" t="s">
        <v>42</v>
      </c>
      <c r="D14" s="83" t="s">
        <v>312</v>
      </c>
      <c r="E14" s="22">
        <v>7.7656674223019024</v>
      </c>
      <c r="F14" s="22">
        <v>96.763737388375716</v>
      </c>
      <c r="G14" s="22">
        <v>8512.5555103456481</v>
      </c>
      <c r="H14" s="22">
        <v>7.8353050763800995</v>
      </c>
      <c r="I14" s="22">
        <v>4905.2927294934989</v>
      </c>
      <c r="J14" s="22">
        <v>85.074492392623739</v>
      </c>
      <c r="K14" s="22">
        <v>0</v>
      </c>
      <c r="L14" s="22">
        <v>3927.6116888095225</v>
      </c>
      <c r="M14" s="22">
        <v>771.46079315519887</v>
      </c>
      <c r="N14" s="22">
        <v>18314.359924083547</v>
      </c>
      <c r="O14" s="2">
        <v>18314.359924083554</v>
      </c>
      <c r="P14" s="2">
        <v>170.28595418650247</v>
      </c>
      <c r="Q14" s="2">
        <v>8690.6767696085299</v>
      </c>
      <c r="R14" s="2" t="s">
        <v>43</v>
      </c>
      <c r="S14" s="22">
        <v>3.0111409532975615</v>
      </c>
      <c r="T14" s="22">
        <v>37.520181666227053</v>
      </c>
      <c r="U14" s="22">
        <v>3366.7755909501652</v>
      </c>
      <c r="V14" s="22">
        <v>3.0381429842478225</v>
      </c>
      <c r="W14" s="22">
        <v>0</v>
      </c>
      <c r="X14" s="22">
        <v>2212.4268661122769</v>
      </c>
      <c r="Y14" s="22">
        <v>191.80483703733466</v>
      </c>
      <c r="Z14" s="22">
        <v>2262.668163421707</v>
      </c>
      <c r="AA14" s="22">
        <v>0</v>
      </c>
      <c r="AB14" s="22">
        <v>0</v>
      </c>
      <c r="AC14" s="22">
        <f t="shared" si="38"/>
        <v>8077.2449231252558</v>
      </c>
      <c r="AD14" s="2">
        <f t="shared" si="26"/>
        <v>8077.2449231252558</v>
      </c>
      <c r="AE14" s="2">
        <f t="shared" si="27"/>
        <v>75.101797968038696</v>
      </c>
      <c r="AF14" s="2" t="s">
        <v>43</v>
      </c>
      <c r="AG14" s="22">
        <v>1.0272595610406763</v>
      </c>
      <c r="AH14" s="22">
        <v>12.800119936732173</v>
      </c>
      <c r="AI14" s="22">
        <v>1148.5853599428481</v>
      </c>
      <c r="AJ14" s="22">
        <v>1.0364713830348593</v>
      </c>
      <c r="AK14" s="22">
        <v>0</v>
      </c>
      <c r="AL14" s="22">
        <v>754.77590938683136</v>
      </c>
      <c r="AM14" s="22">
        <v>80.101255826408732</v>
      </c>
      <c r="AN14" s="22">
        <v>2168.8852721747717</v>
      </c>
      <c r="AO14" s="22">
        <v>0</v>
      </c>
      <c r="AP14" s="22">
        <v>916.29235301372</v>
      </c>
      <c r="AQ14" s="22">
        <v>327.17391141167866</v>
      </c>
      <c r="AR14" s="22">
        <f t="shared" si="28"/>
        <v>5410.6779126370657</v>
      </c>
      <c r="AS14" s="2">
        <f t="shared" si="29"/>
        <v>5410.6779126370657</v>
      </c>
      <c r="AT14" s="2"/>
      <c r="AU14" s="2"/>
      <c r="AV14" s="2"/>
      <c r="AW14" s="2"/>
      <c r="AX14" s="2" t="s">
        <v>43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2">
        <v>29.332947088146</v>
      </c>
      <c r="BF14" s="22">
        <v>2125.8677190184194</v>
      </c>
      <c r="BG14" s="22">
        <v>0</v>
      </c>
      <c r="BH14" s="22">
        <v>1832.58470602744</v>
      </c>
      <c r="BI14" s="22">
        <v>654.34782282335732</v>
      </c>
      <c r="BJ14" s="22">
        <f t="shared" si="30"/>
        <v>4642.1331949573623</v>
      </c>
      <c r="BK14" s="2">
        <f t="shared" si="31"/>
        <v>4642.1331949573623</v>
      </c>
      <c r="BL14" s="2"/>
      <c r="BM14" s="2"/>
      <c r="BN14" s="2"/>
      <c r="BO14" s="2"/>
      <c r="BP14" s="4" t="s">
        <v>43</v>
      </c>
      <c r="BQ14" s="53">
        <v>6.8700923890495033E-4</v>
      </c>
      <c r="BR14" s="53">
        <v>1.0550152565432644E-2</v>
      </c>
      <c r="BS14" s="53">
        <v>0.58157040134113869</v>
      </c>
      <c r="BT14" s="53">
        <v>4.643618471372334E-4</v>
      </c>
      <c r="BU14" s="53">
        <v>0.24781156665700146</v>
      </c>
      <c r="BV14" s="53">
        <v>4.3196273344701594E-3</v>
      </c>
      <c r="BW14" s="53">
        <v>0</v>
      </c>
      <c r="BX14" s="53">
        <v>0.54257941806101573</v>
      </c>
      <c r="BY14" s="53">
        <v>2.9670312935863741E-2</v>
      </c>
      <c r="BZ14" s="53">
        <f t="shared" si="32"/>
        <v>1.4176528499809646</v>
      </c>
      <c r="CA14" s="53">
        <f t="shared" si="39"/>
        <v>0.87507343191994891</v>
      </c>
      <c r="CB14" s="53">
        <v>1.2416834271198727E-2</v>
      </c>
      <c r="CC14" s="57" t="s">
        <v>43</v>
      </c>
      <c r="CD14" s="53">
        <v>2.6638813408613434E-4</v>
      </c>
      <c r="CE14" s="53">
        <v>4.0908262903557209E-3</v>
      </c>
      <c r="CF14" s="53">
        <v>0.2300151851315132</v>
      </c>
      <c r="CG14" s="53">
        <v>1.8005651015239499E-4</v>
      </c>
      <c r="CH14" s="53">
        <v>0</v>
      </c>
      <c r="CI14" s="53">
        <v>0.11233519351804393</v>
      </c>
      <c r="CJ14" s="53"/>
      <c r="CK14" s="53">
        <v>9.0265549045113413E-2</v>
      </c>
      <c r="CL14" s="53">
        <v>0</v>
      </c>
      <c r="CM14" s="53"/>
      <c r="CN14" s="53">
        <f t="shared" si="33"/>
        <v>0.43715319862926483</v>
      </c>
      <c r="CO14" s="53">
        <f t="shared" si="34"/>
        <v>0.34688764958415141</v>
      </c>
      <c r="CP14" s="53">
        <v>5.4762389728095469E-3</v>
      </c>
      <c r="CQ14" s="57" t="s">
        <v>43</v>
      </c>
      <c r="CR14" s="53">
        <v>9.087909265359623E-5</v>
      </c>
      <c r="CS14" s="53">
        <v>1.3955973780378525E-3</v>
      </c>
      <c r="CT14" s="53">
        <v>7.847035451865092E-2</v>
      </c>
      <c r="CU14" s="53">
        <v>6.1426806134434411E-5</v>
      </c>
      <c r="CV14" s="53">
        <v>0</v>
      </c>
      <c r="CW14" s="53">
        <v>3.8323480492134125E-2</v>
      </c>
      <c r="CX14" s="53"/>
      <c r="CY14" s="53">
        <v>8.0948949857538362E-3</v>
      </c>
      <c r="CZ14" s="53">
        <v>0</v>
      </c>
      <c r="DA14" s="53"/>
      <c r="DB14" s="53">
        <f t="shared" si="35"/>
        <v>0.12643663327336477</v>
      </c>
      <c r="DC14" s="53">
        <f t="shared" si="21"/>
        <v>0.11834173828761094</v>
      </c>
      <c r="DE14" s="53">
        <f>DC14*(1-DD14)</f>
        <v>0.11834173828761094</v>
      </c>
      <c r="DF14" s="53">
        <f t="shared" si="41"/>
        <v>0</v>
      </c>
      <c r="DG14" s="53">
        <v>0</v>
      </c>
      <c r="DH14" s="9"/>
      <c r="DI14" s="57" t="s">
        <v>43</v>
      </c>
      <c r="DJ14" s="53">
        <v>0</v>
      </c>
      <c r="DK14" s="53">
        <v>0</v>
      </c>
      <c r="DL14" s="53">
        <v>0</v>
      </c>
      <c r="DM14" s="53">
        <v>0</v>
      </c>
      <c r="DN14" s="53">
        <v>0</v>
      </c>
      <c r="DO14" s="53">
        <v>0</v>
      </c>
      <c r="DP14" s="53"/>
      <c r="DQ14" s="53">
        <v>0</v>
      </c>
      <c r="DR14" s="53">
        <v>0</v>
      </c>
      <c r="DS14" s="53"/>
      <c r="DT14" s="53">
        <f t="shared" si="36"/>
        <v>0</v>
      </c>
      <c r="DU14" s="53">
        <f t="shared" si="37"/>
        <v>0</v>
      </c>
      <c r="DV14" s="54"/>
      <c r="DW14" s="53">
        <f t="shared" si="42"/>
        <v>0</v>
      </c>
      <c r="DX14" s="53">
        <f t="shared" si="43"/>
        <v>0</v>
      </c>
      <c r="DY14" s="53">
        <v>0</v>
      </c>
    </row>
    <row r="15" spans="1:129" s="4" customFormat="1">
      <c r="A15" s="19" t="s">
        <v>44</v>
      </c>
      <c r="B15" s="21" t="s">
        <v>45</v>
      </c>
      <c r="C15" s="83" t="s">
        <v>46</v>
      </c>
      <c r="D15" s="83" t="s">
        <v>313</v>
      </c>
      <c r="E15" s="22">
        <v>0</v>
      </c>
      <c r="F15" s="22">
        <v>0</v>
      </c>
      <c r="G15" s="22">
        <v>62044.090826154963</v>
      </c>
      <c r="H15" s="22">
        <v>527.33401048694873</v>
      </c>
      <c r="I15" s="22">
        <v>0</v>
      </c>
      <c r="J15" s="22">
        <v>2718.6146012738377</v>
      </c>
      <c r="K15" s="22">
        <v>0</v>
      </c>
      <c r="L15" s="22">
        <v>21330.266322040592</v>
      </c>
      <c r="M15" s="22">
        <v>229.78472573390886</v>
      </c>
      <c r="N15" s="22">
        <v>86850.090485690249</v>
      </c>
      <c r="O15" s="2">
        <v>86850.090485690263</v>
      </c>
      <c r="P15" s="2">
        <v>50079.733159106501</v>
      </c>
      <c r="Q15" s="2">
        <v>112651.15799574841</v>
      </c>
      <c r="R15" s="2" t="s">
        <v>47</v>
      </c>
      <c r="S15" s="22">
        <v>0</v>
      </c>
      <c r="T15" s="22">
        <v>0</v>
      </c>
      <c r="U15" s="22">
        <v>71170.070345078377</v>
      </c>
      <c r="V15" s="22">
        <v>334.72278493321602</v>
      </c>
      <c r="W15" s="22">
        <v>0</v>
      </c>
      <c r="X15" s="22">
        <v>2793.6265793035013</v>
      </c>
      <c r="Y15" s="22">
        <v>3874.3912862413399</v>
      </c>
      <c r="Z15" s="22">
        <v>37200.092964553369</v>
      </c>
      <c r="AA15" s="22">
        <v>0</v>
      </c>
      <c r="AB15" s="22">
        <v>0</v>
      </c>
      <c r="AC15" s="22">
        <f t="shared" si="38"/>
        <v>115372.9039601098</v>
      </c>
      <c r="AD15" s="2">
        <f t="shared" si="26"/>
        <v>115372.9039601098</v>
      </c>
      <c r="AE15" s="2">
        <f t="shared" si="27"/>
        <v>66526.634708175698</v>
      </c>
      <c r="AF15" s="2" t="s">
        <v>47</v>
      </c>
      <c r="AG15" s="22">
        <v>0</v>
      </c>
      <c r="AH15" s="22">
        <v>0</v>
      </c>
      <c r="AI15" s="22">
        <v>29475.642891399199</v>
      </c>
      <c r="AJ15" s="22">
        <v>138.62806694539631</v>
      </c>
      <c r="AK15" s="22">
        <v>0</v>
      </c>
      <c r="AL15" s="22">
        <v>1157.0023610235964</v>
      </c>
      <c r="AM15" s="22">
        <v>3061.0440129639373</v>
      </c>
      <c r="AN15" s="22">
        <v>39445.159954659212</v>
      </c>
      <c r="AO15" s="22">
        <v>0</v>
      </c>
      <c r="AP15" s="22">
        <v>6017.2857821983207</v>
      </c>
      <c r="AQ15" s="22">
        <v>8023.0477095977631</v>
      </c>
      <c r="AR15" s="22">
        <f t="shared" si="28"/>
        <v>87317.810778787432</v>
      </c>
      <c r="AS15" s="2">
        <f t="shared" si="29"/>
        <v>87317.810778787432</v>
      </c>
      <c r="AT15" s="2"/>
      <c r="AU15" s="2"/>
      <c r="AV15" s="2"/>
      <c r="AW15" s="2"/>
      <c r="AX15" s="2" t="s">
        <v>47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1456.4344710443847</v>
      </c>
      <c r="BF15" s="22">
        <v>42603.371879225298</v>
      </c>
      <c r="BG15" s="22">
        <v>0</v>
      </c>
      <c r="BH15" s="22">
        <v>12034.571564396641</v>
      </c>
      <c r="BI15" s="22">
        <v>16046.095419195526</v>
      </c>
      <c r="BJ15" s="22">
        <f t="shared" si="30"/>
        <v>72140.473333861853</v>
      </c>
      <c r="BK15" s="2">
        <f t="shared" si="31"/>
        <v>72140.473333861853</v>
      </c>
      <c r="BL15" s="2"/>
      <c r="BM15" s="2"/>
      <c r="BN15" s="2"/>
      <c r="BO15" s="2"/>
      <c r="BP15" s="4" t="s">
        <v>47</v>
      </c>
      <c r="BQ15" s="53">
        <v>0</v>
      </c>
      <c r="BR15" s="53">
        <v>0</v>
      </c>
      <c r="BS15" s="53">
        <v>4.3031802312463903</v>
      </c>
      <c r="BT15" s="53">
        <v>3.0664627556605262E-2</v>
      </c>
      <c r="BU15" s="53">
        <v>0</v>
      </c>
      <c r="BV15" s="53">
        <v>0.13535288357122549</v>
      </c>
      <c r="BW15" s="53">
        <v>0</v>
      </c>
      <c r="BX15" s="53">
        <v>2.9545168566183504</v>
      </c>
      <c r="BY15" s="53">
        <v>2.2944102894603149E-3</v>
      </c>
      <c r="BZ15" s="53">
        <f t="shared" si="32"/>
        <v>7.4260090092820317</v>
      </c>
      <c r="CA15" s="53">
        <f t="shared" si="39"/>
        <v>4.4714921526636813</v>
      </c>
      <c r="CB15" s="53">
        <v>3.7441072378448568</v>
      </c>
      <c r="CC15" s="4" t="s">
        <v>47</v>
      </c>
      <c r="CD15" s="53">
        <v>0</v>
      </c>
      <c r="CE15" s="53">
        <v>0</v>
      </c>
      <c r="CF15" s="53">
        <v>4.9361290605978541</v>
      </c>
      <c r="CG15" s="53">
        <v>1.9464228232138243E-2</v>
      </c>
      <c r="CH15" s="53">
        <v>0</v>
      </c>
      <c r="CI15" s="53">
        <v>0.13908753853995073</v>
      </c>
      <c r="CJ15" s="53"/>
      <c r="CK15" s="53">
        <v>1.4840385657332649</v>
      </c>
      <c r="CL15" s="53">
        <v>0</v>
      </c>
      <c r="CM15" s="53"/>
      <c r="CN15" s="53">
        <f t="shared" si="33"/>
        <v>6.5787193931032073</v>
      </c>
      <c r="CO15" s="53">
        <f t="shared" si="34"/>
        <v>5.0946808273699427</v>
      </c>
      <c r="CP15" s="53">
        <v>4.9737256731977668</v>
      </c>
      <c r="CQ15" s="4" t="s">
        <v>47</v>
      </c>
      <c r="CR15" s="53">
        <v>0</v>
      </c>
      <c r="CS15" s="53">
        <v>0</v>
      </c>
      <c r="CT15" s="53">
        <v>2.0443365694397069</v>
      </c>
      <c r="CU15" s="53">
        <v>8.0612627997335064E-3</v>
      </c>
      <c r="CV15" s="53">
        <v>0</v>
      </c>
      <c r="CW15" s="53">
        <v>5.7604195088881462E-2</v>
      </c>
      <c r="CX15" s="53"/>
      <c r="CY15" s="53">
        <v>0.14722052458268473</v>
      </c>
      <c r="CZ15" s="53">
        <v>0</v>
      </c>
      <c r="DA15" s="53"/>
      <c r="DB15" s="53">
        <f t="shared" si="35"/>
        <v>2.2572225519110067</v>
      </c>
      <c r="DC15" s="53">
        <f t="shared" si="21"/>
        <v>2.110002027328322</v>
      </c>
      <c r="DE15" s="53">
        <f>DC15*(1-DD15)</f>
        <v>2.110002027328322</v>
      </c>
      <c r="DF15" s="53">
        <f t="shared" si="41"/>
        <v>0</v>
      </c>
      <c r="DG15" s="53">
        <v>0</v>
      </c>
      <c r="DH15" s="9"/>
      <c r="DI15" s="4" t="s">
        <v>47</v>
      </c>
      <c r="DJ15" s="53">
        <v>0</v>
      </c>
      <c r="DK15" s="53">
        <v>0</v>
      </c>
      <c r="DL15" s="53">
        <v>0</v>
      </c>
      <c r="DM15" s="53">
        <v>0</v>
      </c>
      <c r="DN15" s="53">
        <v>0</v>
      </c>
      <c r="DO15" s="53">
        <v>0</v>
      </c>
      <c r="DP15" s="53"/>
      <c r="DQ15" s="53">
        <v>0</v>
      </c>
      <c r="DR15" s="53">
        <v>0</v>
      </c>
      <c r="DS15" s="53"/>
      <c r="DT15" s="53">
        <f t="shared" si="36"/>
        <v>0</v>
      </c>
      <c r="DU15" s="53">
        <f t="shared" si="37"/>
        <v>0</v>
      </c>
      <c r="DV15" s="54"/>
      <c r="DW15" s="53">
        <f t="shared" si="42"/>
        <v>0</v>
      </c>
      <c r="DX15" s="53">
        <f t="shared" si="43"/>
        <v>0</v>
      </c>
      <c r="DY15" s="53">
        <v>0</v>
      </c>
    </row>
    <row r="16" spans="1:129" s="4" customFormat="1">
      <c r="A16" s="23"/>
      <c r="B16" s="16"/>
      <c r="C16" s="16"/>
      <c r="D16" s="1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>
        <f>AN17*0.000277778</f>
        <v>363.29528456341779</v>
      </c>
      <c r="AO16" s="2"/>
      <c r="AP16" s="2"/>
      <c r="AQ16" s="2"/>
      <c r="AR16" s="2"/>
      <c r="AS16" s="2"/>
      <c r="AT16" s="2">
        <f>AT17*0.000277778</f>
        <v>61.154735006649474</v>
      </c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>
        <f>BF17*0.000277778</f>
        <v>400.72426005145337</v>
      </c>
      <c r="BG16" s="2"/>
      <c r="BH16" s="2"/>
      <c r="BI16" s="2"/>
      <c r="BJ16" s="2"/>
      <c r="BK16" s="2"/>
      <c r="BL16" s="2">
        <f>BL17*0.000277778</f>
        <v>146.76043976999995</v>
      </c>
      <c r="BM16" s="2"/>
      <c r="BN16" s="2"/>
      <c r="BO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G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Y16" s="2"/>
    </row>
    <row r="17" spans="1:129" s="4" customFormat="1">
      <c r="A17" s="24" t="s">
        <v>48</v>
      </c>
      <c r="B17" s="25" t="s">
        <v>49</v>
      </c>
      <c r="C17" s="84" t="s">
        <v>50</v>
      </c>
      <c r="D17" s="84" t="s">
        <v>51</v>
      </c>
      <c r="E17" s="18">
        <f t="shared" ref="E17:M17" si="44">SUM(E18:E38)</f>
        <v>419410.65177394199</v>
      </c>
      <c r="F17" s="18">
        <f t="shared" si="44"/>
        <v>912157.39984831633</v>
      </c>
      <c r="G17" s="18">
        <f t="shared" si="44"/>
        <v>440969.88797739358</v>
      </c>
      <c r="H17" s="18">
        <f t="shared" si="44"/>
        <v>65561.570992457549</v>
      </c>
      <c r="I17" s="18">
        <f t="shared" si="44"/>
        <v>45858.785964585506</v>
      </c>
      <c r="J17" s="18">
        <f t="shared" si="44"/>
        <v>258231.19856134758</v>
      </c>
      <c r="K17" s="18">
        <f t="shared" si="44"/>
        <v>28631.988274230411</v>
      </c>
      <c r="L17" s="18">
        <f t="shared" si="44"/>
        <v>1212249.7466357427</v>
      </c>
      <c r="M17" s="18">
        <f t="shared" si="44"/>
        <v>885711.59564706928</v>
      </c>
      <c r="N17" s="18">
        <f>SUM(N18:N38)</f>
        <v>4268782.8256750843</v>
      </c>
      <c r="O17" s="18">
        <f>SUM(O18:O38)</f>
        <v>4268782.8256750843</v>
      </c>
      <c r="P17" s="18">
        <f>SUM(P18:P38)</f>
        <v>1525858.4222986775</v>
      </c>
      <c r="Q17" s="18">
        <v>2002800.5924924077</v>
      </c>
      <c r="R17" s="2" t="s">
        <v>51</v>
      </c>
      <c r="S17" s="18">
        <f t="shared" ref="S17:AE17" si="45">SUM(S18:S38)</f>
        <v>192919.90731207491</v>
      </c>
      <c r="T17" s="18">
        <f t="shared" si="45"/>
        <v>395682.95501323935</v>
      </c>
      <c r="U17" s="18">
        <f t="shared" si="45"/>
        <v>436596.62940261478</v>
      </c>
      <c r="V17" s="18">
        <f t="shared" si="45"/>
        <v>76612.562354183217</v>
      </c>
      <c r="W17" s="18">
        <f t="shared" si="45"/>
        <v>510337.96980332909</v>
      </c>
      <c r="X17" s="18">
        <f t="shared" si="45"/>
        <v>201840.39828304845</v>
      </c>
      <c r="Y17" s="18">
        <f t="shared" si="45"/>
        <v>22476.102945270319</v>
      </c>
      <c r="Z17" s="18">
        <f t="shared" si="45"/>
        <v>1146771.4115434843</v>
      </c>
      <c r="AA17" s="18">
        <f t="shared" si="45"/>
        <v>639357.59228720819</v>
      </c>
      <c r="AB17" s="18">
        <f t="shared" si="45"/>
        <v>16508.943656080202</v>
      </c>
      <c r="AC17" s="18">
        <f t="shared" si="45"/>
        <v>3639104.4726005336</v>
      </c>
      <c r="AD17" s="18">
        <f t="shared" si="45"/>
        <v>3639104.4726005336</v>
      </c>
      <c r="AE17" s="18">
        <f t="shared" si="45"/>
        <v>1531805.1320149715</v>
      </c>
      <c r="AF17" s="2" t="s">
        <v>51</v>
      </c>
      <c r="AG17" s="18">
        <f t="shared" ref="AG17:AW17" si="46">SUM(AG18:AG38)</f>
        <v>0</v>
      </c>
      <c r="AH17" s="18">
        <f t="shared" si="46"/>
        <v>0</v>
      </c>
      <c r="AI17" s="18">
        <f t="shared" si="46"/>
        <v>0</v>
      </c>
      <c r="AJ17" s="18">
        <f t="shared" si="46"/>
        <v>28395.155846996309</v>
      </c>
      <c r="AK17" s="18">
        <f t="shared" si="46"/>
        <v>682566.03845147416</v>
      </c>
      <c r="AL17" s="18">
        <f t="shared" si="46"/>
        <v>84456.924173551553</v>
      </c>
      <c r="AM17" s="18">
        <f t="shared" si="46"/>
        <v>21827.593982781571</v>
      </c>
      <c r="AN17" s="18">
        <f t="shared" si="46"/>
        <v>1307861.9781387215</v>
      </c>
      <c r="AO17" s="18">
        <f t="shared" si="46"/>
        <v>407494.79605306318</v>
      </c>
      <c r="AP17" s="18">
        <f t="shared" si="46"/>
        <v>427238.61093123467</v>
      </c>
      <c r="AQ17" s="18">
        <f t="shared" si="46"/>
        <v>28477.808657471483</v>
      </c>
      <c r="AR17" s="18">
        <f t="shared" si="46"/>
        <v>2988318.906235294</v>
      </c>
      <c r="AS17" s="18">
        <f t="shared" si="46"/>
        <v>2988318.906235294</v>
      </c>
      <c r="AT17" s="18">
        <f t="shared" si="46"/>
        <v>220156.86989844218</v>
      </c>
      <c r="AU17" s="18">
        <f t="shared" si="46"/>
        <v>880573.65538104658</v>
      </c>
      <c r="AV17" s="18">
        <f t="shared" si="46"/>
        <v>465628.89722726919</v>
      </c>
      <c r="AW17" s="18">
        <f t="shared" si="46"/>
        <v>1566359.422506758</v>
      </c>
      <c r="AX17" s="2" t="s">
        <v>51</v>
      </c>
      <c r="AY17" s="18">
        <f t="shared" ref="AY17:BO17" si="47">SUM(AY18:AY38)</f>
        <v>0</v>
      </c>
      <c r="AZ17" s="18">
        <f t="shared" si="47"/>
        <v>0</v>
      </c>
      <c r="BA17" s="18">
        <f t="shared" si="47"/>
        <v>0</v>
      </c>
      <c r="BB17" s="18">
        <f t="shared" si="47"/>
        <v>0</v>
      </c>
      <c r="BC17" s="18">
        <f t="shared" si="47"/>
        <v>18664.64922897804</v>
      </c>
      <c r="BD17" s="18">
        <f t="shared" si="47"/>
        <v>5517.4487717732536</v>
      </c>
      <c r="BE17" s="18">
        <f t="shared" si="47"/>
        <v>21179.085020292834</v>
      </c>
      <c r="BF17" s="18">
        <f t="shared" si="47"/>
        <v>1442606.1821002865</v>
      </c>
      <c r="BG17" s="18">
        <f t="shared" si="47"/>
        <v>151942.35640229002</v>
      </c>
      <c r="BH17" s="18">
        <f t="shared" si="47"/>
        <v>718525.12472582643</v>
      </c>
      <c r="BI17" s="18">
        <f t="shared" si="47"/>
        <v>38399.619391799453</v>
      </c>
      <c r="BJ17" s="18">
        <f t="shared" si="47"/>
        <v>2396834.4656412471</v>
      </c>
      <c r="BK17" s="18">
        <f t="shared" si="47"/>
        <v>2396834.4656412471</v>
      </c>
      <c r="BL17" s="18">
        <f t="shared" si="47"/>
        <v>528337.16050227138</v>
      </c>
      <c r="BM17" s="18">
        <f t="shared" si="47"/>
        <v>100629.49873872979</v>
      </c>
      <c r="BN17" s="18">
        <f t="shared" si="47"/>
        <v>1117426.1767181861</v>
      </c>
      <c r="BO17" s="18">
        <f t="shared" si="47"/>
        <v>1746392.8359591872</v>
      </c>
      <c r="BP17" s="4" t="s">
        <v>51</v>
      </c>
      <c r="BQ17" s="53">
        <f t="shared" ref="BQ17:CB17" si="48">SUM(BQ18:BQ38)</f>
        <v>41.91665716025561</v>
      </c>
      <c r="BR17" s="53">
        <f t="shared" si="48"/>
        <v>95.787003307464857</v>
      </c>
      <c r="BS17" s="53">
        <f t="shared" si="48"/>
        <v>36.636786714418072</v>
      </c>
      <c r="BT17" s="53">
        <f t="shared" si="48"/>
        <v>4.4519716762324153</v>
      </c>
      <c r="BU17" s="53">
        <f t="shared" si="48"/>
        <v>2.6031057209331512</v>
      </c>
      <c r="BV17" s="53">
        <f t="shared" si="48"/>
        <v>14.941424604610981</v>
      </c>
      <c r="BW17" s="53">
        <f t="shared" si="48"/>
        <v>0</v>
      </c>
      <c r="BX17" s="53">
        <f t="shared" si="48"/>
        <v>163.9229157113698</v>
      </c>
      <c r="BY17" s="53">
        <f t="shared" si="48"/>
        <v>65.299132083172793</v>
      </c>
      <c r="BZ17" s="53">
        <f t="shared" si="48"/>
        <v>425.55899697845757</v>
      </c>
      <c r="CA17" s="53">
        <f t="shared" si="48"/>
        <v>261.63608126708783</v>
      </c>
      <c r="CB17" s="53">
        <f t="shared" si="48"/>
        <v>103.37487515674478</v>
      </c>
      <c r="CC17" s="4" t="s">
        <v>51</v>
      </c>
      <c r="CD17" s="53">
        <f t="shared" ref="CD17:CP17" si="49">SUM(CD18:CD38)</f>
        <v>19.306386596540523</v>
      </c>
      <c r="CE17" s="53">
        <f t="shared" si="49"/>
        <v>41.881136433708839</v>
      </c>
      <c r="CF17" s="53">
        <f t="shared" si="49"/>
        <v>35.881676946315125</v>
      </c>
      <c r="CG17" s="53">
        <f t="shared" si="49"/>
        <v>5.2006078482223055</v>
      </c>
      <c r="CH17" s="53">
        <f t="shared" si="49"/>
        <v>28.31683587840768</v>
      </c>
      <c r="CI17" s="53">
        <f t="shared" si="49"/>
        <v>11.660887448351573</v>
      </c>
      <c r="CJ17" s="53">
        <f t="shared" si="49"/>
        <v>0</v>
      </c>
      <c r="CK17" s="53">
        <f t="shared" si="49"/>
        <v>45.748622252974975</v>
      </c>
      <c r="CL17" s="53">
        <f t="shared" si="49"/>
        <v>27.959937716381255</v>
      </c>
      <c r="CM17" s="53">
        <f t="shared" si="49"/>
        <v>0</v>
      </c>
      <c r="CN17" s="53">
        <f t="shared" si="49"/>
        <v>215.95609112090227</v>
      </c>
      <c r="CO17" s="53">
        <f t="shared" si="49"/>
        <v>170.20746886792739</v>
      </c>
      <c r="CP17" s="53">
        <f t="shared" si="49"/>
        <v>103.77697902604964</v>
      </c>
      <c r="CQ17" s="4" t="s">
        <v>51</v>
      </c>
      <c r="CR17" s="53">
        <f t="shared" ref="CR17:CW17" si="50">SUM(CR18:CR38)</f>
        <v>0</v>
      </c>
      <c r="CS17" s="53">
        <f t="shared" si="50"/>
        <v>0</v>
      </c>
      <c r="CT17" s="53">
        <f t="shared" si="50"/>
        <v>0</v>
      </c>
      <c r="CU17" s="53">
        <f t="shared" si="50"/>
        <v>1.9291776915519041</v>
      </c>
      <c r="CV17" s="53">
        <f t="shared" si="50"/>
        <v>38.608437626717496</v>
      </c>
      <c r="CW17" s="53">
        <f t="shared" si="50"/>
        <v>4.8843719879303915</v>
      </c>
      <c r="CX17" s="53"/>
      <c r="CY17" s="53">
        <f t="shared" ref="CY17" si="51">SUM(CY18:CY38)</f>
        <v>4.8813118447143546</v>
      </c>
      <c r="CZ17" s="53">
        <f>SUM(CZ18:CZ38)</f>
        <v>14.881769120194591</v>
      </c>
      <c r="DA17" s="53"/>
      <c r="DB17" s="53">
        <f>SUM(DB18:DB38)</f>
        <v>65.185068271108733</v>
      </c>
      <c r="DC17" s="53">
        <f t="shared" ref="DC17" si="52">SUM(DC18:DC38)</f>
        <v>60.303756426394358</v>
      </c>
      <c r="DE17" s="53">
        <f>SUM(DE18:DE38)</f>
        <v>25.901410972097153</v>
      </c>
      <c r="DF17" s="53">
        <f>SUM(DF18:DF38)</f>
        <v>34.402345454297219</v>
      </c>
      <c r="DG17" s="53">
        <f t="shared" ref="DG17" si="53">SUM(DG18:DG38)</f>
        <v>59.653489813123315</v>
      </c>
      <c r="DH17" s="9"/>
      <c r="DI17" s="4" t="s">
        <v>51</v>
      </c>
      <c r="DJ17" s="53">
        <f t="shared" ref="DJ17:DO17" si="54">SUM(DJ18:DJ38)</f>
        <v>0</v>
      </c>
      <c r="DK17" s="53">
        <f t="shared" si="54"/>
        <v>0</v>
      </c>
      <c r="DL17" s="53">
        <f t="shared" si="54"/>
        <v>0</v>
      </c>
      <c r="DM17" s="53">
        <f t="shared" si="54"/>
        <v>0</v>
      </c>
      <c r="DN17" s="53">
        <f t="shared" si="54"/>
        <v>1.1388525868866646</v>
      </c>
      <c r="DO17" s="53">
        <f t="shared" si="54"/>
        <v>0.3293836746476615</v>
      </c>
      <c r="DP17" s="53"/>
      <c r="DQ17" s="53">
        <f t="shared" ref="DQ17" si="55">SUM(DQ18:DQ38)</f>
        <v>0</v>
      </c>
      <c r="DR17" s="53">
        <f>SUM(DR18:DR38)</f>
        <v>0</v>
      </c>
      <c r="DS17" s="53"/>
      <c r="DT17" s="53">
        <f>SUM(DT18:DT38)</f>
        <v>1.4682362615343258</v>
      </c>
      <c r="DU17" s="53">
        <f>SUM(DU18:DU38)</f>
        <v>1.4682362615343258</v>
      </c>
      <c r="DW17" s="53">
        <f>SUM(DW18:DW38)</f>
        <v>0.52571388669296548</v>
      </c>
      <c r="DX17" s="53">
        <f>SUM(DX18:DX38)</f>
        <v>0.94252237484136037</v>
      </c>
      <c r="DY17" s="53">
        <f t="shared" ref="DY17" si="56">SUM(DY18:DY38)</f>
        <v>6.8170342608227532</v>
      </c>
    </row>
    <row r="18" spans="1:129" s="4" customFormat="1">
      <c r="A18" s="24" t="s">
        <v>52</v>
      </c>
      <c r="B18" s="26" t="s">
        <v>53</v>
      </c>
      <c r="C18" s="26" t="s">
        <v>54</v>
      </c>
      <c r="D18" s="84" t="s">
        <v>314</v>
      </c>
      <c r="E18" s="27">
        <v>71.436054638195856</v>
      </c>
      <c r="F18" s="27">
        <v>36.814810054144793</v>
      </c>
      <c r="G18" s="27">
        <v>20520.52544208158</v>
      </c>
      <c r="H18" s="27">
        <v>5679.8180812917972</v>
      </c>
      <c r="I18" s="27">
        <v>0</v>
      </c>
      <c r="J18" s="27">
        <v>30423.678429943313</v>
      </c>
      <c r="K18" s="27">
        <v>1.8189894035458565E-11</v>
      </c>
      <c r="L18" s="27">
        <v>91109.892055319884</v>
      </c>
      <c r="M18" s="27">
        <v>96529.675861998971</v>
      </c>
      <c r="N18" s="27">
        <v>244371.84073532792</v>
      </c>
      <c r="O18" s="2">
        <v>244371.84073532792</v>
      </c>
      <c r="P18" s="2">
        <v>0</v>
      </c>
      <c r="Q18" s="2">
        <v>26200.343523373376</v>
      </c>
      <c r="R18" s="2" t="s">
        <v>55</v>
      </c>
      <c r="S18" s="27">
        <v>33.064361822210067</v>
      </c>
      <c r="T18" s="27">
        <v>17.039829624007957</v>
      </c>
      <c r="U18" s="27">
        <v>17269.050976244936</v>
      </c>
      <c r="V18" s="27">
        <v>4779.8516786749542</v>
      </c>
      <c r="W18" s="27">
        <v>40.994338455996562</v>
      </c>
      <c r="X18" s="27">
        <v>25603.050719849391</v>
      </c>
      <c r="Y18" s="27">
        <v>1.4279066817834976E-11</v>
      </c>
      <c r="Z18" s="27">
        <v>85939.073043788565</v>
      </c>
      <c r="AA18" s="27">
        <v>58124.110132410155</v>
      </c>
      <c r="AB18" s="27">
        <v>0</v>
      </c>
      <c r="AC18" s="27">
        <f t="shared" ref="AC18:AC38" si="57">SUM(S18:AB18)</f>
        <v>191806.23508087025</v>
      </c>
      <c r="AD18" s="2">
        <f t="shared" ref="AD18:AD38" si="58">AC18</f>
        <v>191806.23508087025</v>
      </c>
      <c r="AE18" s="2">
        <f>AC18*P18/N18</f>
        <v>0</v>
      </c>
      <c r="AF18" s="2" t="s">
        <v>55</v>
      </c>
      <c r="AG18" s="27">
        <v>0</v>
      </c>
      <c r="AH18" s="27">
        <v>0</v>
      </c>
      <c r="AI18" s="27">
        <v>0</v>
      </c>
      <c r="AJ18" s="27">
        <v>1608.6966493503767</v>
      </c>
      <c r="AK18" s="27">
        <v>5842.694757110613</v>
      </c>
      <c r="AL18" s="27">
        <v>8616.9079450572535</v>
      </c>
      <c r="AM18" s="27">
        <v>1.3867069113878461E-11</v>
      </c>
      <c r="AN18" s="27">
        <v>88242.174683331104</v>
      </c>
      <c r="AO18" s="27">
        <v>37114.329307265303</v>
      </c>
      <c r="AP18" s="27">
        <v>5356.0997838394142</v>
      </c>
      <c r="AQ18" s="27">
        <v>5356.0997838394142</v>
      </c>
      <c r="AR18" s="27">
        <f t="shared" ref="AR18:AR38" si="59">SUM(AG18:AQ18)</f>
        <v>152137.00290979352</v>
      </c>
      <c r="AS18" s="2">
        <f>AR18-AW18</f>
        <v>152137.00290979352</v>
      </c>
      <c r="AT18" s="2"/>
      <c r="AU18" s="2"/>
      <c r="AV18" s="2"/>
      <c r="AW18" s="2"/>
      <c r="AX18" s="2" t="s">
        <v>55</v>
      </c>
      <c r="AY18" s="27">
        <v>0</v>
      </c>
      <c r="AZ18" s="27">
        <v>0</v>
      </c>
      <c r="BA18" s="27">
        <v>0</v>
      </c>
      <c r="BB18" s="27">
        <v>0</v>
      </c>
      <c r="BC18" s="27">
        <v>637.32891910295245</v>
      </c>
      <c r="BD18" s="27">
        <v>737.01733368497059</v>
      </c>
      <c r="BE18" s="27">
        <v>1.3455071409921949E-11</v>
      </c>
      <c r="BF18" s="27">
        <v>81694.410180487699</v>
      </c>
      <c r="BG18" s="27">
        <v>10183.036830027164</v>
      </c>
      <c r="BH18" s="27">
        <v>6184.5581375456522</v>
      </c>
      <c r="BI18" s="27">
        <v>6184.5581375456522</v>
      </c>
      <c r="BJ18" s="27">
        <f>SUM(AY18:BI18)</f>
        <v>105620.9095383941</v>
      </c>
      <c r="BK18" s="2">
        <f>BJ18-BO18</f>
        <v>105620.9095383941</v>
      </c>
      <c r="BL18" s="2"/>
      <c r="BM18" s="2"/>
      <c r="BN18" s="2"/>
      <c r="BO18" s="2"/>
      <c r="BP18" s="4" t="s">
        <v>55</v>
      </c>
      <c r="BQ18" s="52">
        <v>5.7641863797319908E-3</v>
      </c>
      <c r="BR18" s="52">
        <v>3.6789417087047748E-3</v>
      </c>
      <c r="BS18" s="52">
        <v>1.2981251482544451</v>
      </c>
      <c r="BT18" s="52">
        <v>0.307268962735947</v>
      </c>
      <c r="BU18" s="52">
        <v>0</v>
      </c>
      <c r="BV18" s="52">
        <v>1.4091397708122293</v>
      </c>
      <c r="BW18" s="52">
        <v>0</v>
      </c>
      <c r="BX18" s="52">
        <v>12.466848857668468</v>
      </c>
      <c r="BY18" s="52">
        <v>5.1914363358464328</v>
      </c>
      <c r="BZ18" s="52">
        <f t="shared" ref="BZ18:BZ38" si="60">SUM(BQ18:BY18)</f>
        <v>20.682262203405958</v>
      </c>
      <c r="CA18" s="52">
        <f t="shared" ref="CA18:CA38" si="61">BZ18-BX18</f>
        <v>8.21541334573749</v>
      </c>
      <c r="CB18" s="52">
        <v>0</v>
      </c>
      <c r="CC18" s="4" t="s">
        <v>55</v>
      </c>
      <c r="CD18" s="52">
        <v>2.6679685074350169E-3</v>
      </c>
      <c r="CE18" s="52">
        <v>1.7028076423805504E-3</v>
      </c>
      <c r="CF18" s="52">
        <v>1.0924373950376554</v>
      </c>
      <c r="CG18" s="52">
        <v>0.2585822373740696</v>
      </c>
      <c r="CH18" s="52">
        <v>1.8886064280199508E-3</v>
      </c>
      <c r="CI18" s="52">
        <v>1.1858617657473602</v>
      </c>
      <c r="CJ18" s="52"/>
      <c r="CK18" s="52">
        <v>3.4284026876458507</v>
      </c>
      <c r="CL18" s="52">
        <v>3.845677158073761</v>
      </c>
      <c r="CM18" s="52"/>
      <c r="CN18" s="52">
        <f t="shared" ref="CN18:CN38" si="62">SUM(CD18:CM18)</f>
        <v>9.8172206264565318</v>
      </c>
      <c r="CO18" s="52">
        <f t="shared" ref="CO18:CO37" si="63">SUM(CD18:CJ18,CL18)</f>
        <v>6.3888179388106821</v>
      </c>
      <c r="CP18" s="52">
        <v>0</v>
      </c>
      <c r="CQ18" s="4" t="s">
        <v>55</v>
      </c>
      <c r="CR18" s="52">
        <v>0</v>
      </c>
      <c r="CS18" s="52">
        <v>0</v>
      </c>
      <c r="CT18" s="52">
        <v>0</v>
      </c>
      <c r="CU18" s="52">
        <v>8.7027884296297972E-2</v>
      </c>
      <c r="CV18" s="52">
        <v>0.26917255628071879</v>
      </c>
      <c r="CW18" s="52">
        <v>0.39911109745550516</v>
      </c>
      <c r="CX18" s="52"/>
      <c r="CY18" s="52">
        <v>0.32934482360141681</v>
      </c>
      <c r="CZ18" s="52">
        <v>2.618656412094436</v>
      </c>
      <c r="DA18" s="52"/>
      <c r="DB18" s="52">
        <f t="shared" ref="DB18:DB38" si="64">SUM(CR18:DA18)</f>
        <v>3.7033127737283746</v>
      </c>
      <c r="DC18" s="52">
        <f t="shared" ref="DC18:DC38" si="65">SUM(CR18:CX18,CZ18)</f>
        <v>3.3739679501269579</v>
      </c>
      <c r="DD18" s="28">
        <v>0</v>
      </c>
      <c r="DE18" s="54">
        <f t="shared" ref="DE18:DE38" si="66">DC18*(1-DD18)</f>
        <v>3.3739679501269579</v>
      </c>
      <c r="DF18" s="54">
        <f t="shared" ref="DF18:DF38" si="67">DC18*DD18</f>
        <v>0</v>
      </c>
      <c r="DG18" s="52">
        <v>0</v>
      </c>
      <c r="DI18" s="4" t="s">
        <v>55</v>
      </c>
      <c r="DJ18" s="52">
        <v>0</v>
      </c>
      <c r="DK18" s="52">
        <v>0</v>
      </c>
      <c r="DL18" s="52">
        <v>0</v>
      </c>
      <c r="DM18" s="52">
        <v>0</v>
      </c>
      <c r="DN18" s="52">
        <v>2.93617006327071E-2</v>
      </c>
      <c r="DO18" s="52">
        <v>3.4136583420212509E-2</v>
      </c>
      <c r="DP18" s="52"/>
      <c r="DQ18" s="52">
        <v>0</v>
      </c>
      <c r="DR18" s="52">
        <v>0</v>
      </c>
      <c r="DS18" s="52"/>
      <c r="DT18" s="52">
        <f t="shared" ref="DT18:DT38" si="68">SUM(DJ18:DS18)</f>
        <v>6.3498284052919601E-2</v>
      </c>
      <c r="DU18" s="52">
        <f t="shared" ref="DU18:DU38" si="69">DT18-DQ18</f>
        <v>6.3498284052919601E-2</v>
      </c>
      <c r="DV18" s="28">
        <v>0</v>
      </c>
      <c r="DW18" s="54">
        <f t="shared" ref="DW18:DW38" si="70">DU18*(1-DV18)</f>
        <v>6.3498284052919601E-2</v>
      </c>
      <c r="DX18" s="54">
        <f t="shared" ref="DX18:DX38" si="71">DU18*DV18</f>
        <v>0</v>
      </c>
      <c r="DY18" s="52">
        <v>0</v>
      </c>
    </row>
    <row r="19" spans="1:129" s="4" customFormat="1">
      <c r="A19" s="24" t="s">
        <v>56</v>
      </c>
      <c r="B19" s="26" t="s">
        <v>57</v>
      </c>
      <c r="C19" s="29" t="s">
        <v>58</v>
      </c>
      <c r="D19" s="84" t="s">
        <v>315</v>
      </c>
      <c r="E19" s="27">
        <v>22.341182190000001</v>
      </c>
      <c r="F19" s="27">
        <v>0</v>
      </c>
      <c r="G19" s="27">
        <v>4754.576280844245</v>
      </c>
      <c r="H19" s="27">
        <v>983.37558592955736</v>
      </c>
      <c r="I19" s="27">
        <v>50.865528564445249</v>
      </c>
      <c r="J19" s="27">
        <v>5736.1087789137646</v>
      </c>
      <c r="K19" s="27">
        <v>-5.0022208597511053E-12</v>
      </c>
      <c r="L19" s="27">
        <v>30840.687393673044</v>
      </c>
      <c r="M19" s="27">
        <v>47467.716673176386</v>
      </c>
      <c r="N19" s="27">
        <v>89855.671423291438</v>
      </c>
      <c r="O19" s="2">
        <v>89855.671423291438</v>
      </c>
      <c r="P19" s="2">
        <v>0</v>
      </c>
      <c r="Q19" s="2">
        <v>5737.9518667738021</v>
      </c>
      <c r="R19" s="2" t="s">
        <v>59</v>
      </c>
      <c r="S19" s="27">
        <v>8.852331974943489</v>
      </c>
      <c r="T19" s="27">
        <v>0</v>
      </c>
      <c r="U19" s="27">
        <v>3425.3162270855873</v>
      </c>
      <c r="V19" s="27">
        <v>708.44848264926895</v>
      </c>
      <c r="W19" s="27">
        <v>43.887622011920904</v>
      </c>
      <c r="X19" s="27">
        <v>4132.436902926841</v>
      </c>
      <c r="Y19" s="27">
        <v>-3.9267433749046176E-12</v>
      </c>
      <c r="Z19" s="27">
        <v>24349.747573025968</v>
      </c>
      <c r="AA19" s="27">
        <v>26907.561158284156</v>
      </c>
      <c r="AB19" s="27">
        <v>0</v>
      </c>
      <c r="AC19" s="27">
        <f t="shared" si="57"/>
        <v>59576.250297958686</v>
      </c>
      <c r="AD19" s="2">
        <f t="shared" si="58"/>
        <v>59576.250297958686</v>
      </c>
      <c r="AE19" s="2">
        <f>AC19*P19/N19</f>
        <v>0</v>
      </c>
      <c r="AF19" s="2" t="s">
        <v>59</v>
      </c>
      <c r="AG19" s="27">
        <v>0</v>
      </c>
      <c r="AH19" s="27">
        <v>0</v>
      </c>
      <c r="AI19" s="27">
        <v>0</v>
      </c>
      <c r="AJ19" s="27">
        <v>207.13585123088893</v>
      </c>
      <c r="AK19" s="27">
        <v>1016.9125142328237</v>
      </c>
      <c r="AL19" s="27">
        <v>1208.2400576887915</v>
      </c>
      <c r="AM19" s="27">
        <v>-3.8134440063165768E-12</v>
      </c>
      <c r="AN19" s="27">
        <v>24139.82270483231</v>
      </c>
      <c r="AO19" s="27">
        <v>16890.674510462835</v>
      </c>
      <c r="AP19" s="27">
        <v>810.76280771750112</v>
      </c>
      <c r="AQ19" s="27">
        <v>810.76280771750112</v>
      </c>
      <c r="AR19" s="27">
        <f t="shared" si="59"/>
        <v>45084.311253882654</v>
      </c>
      <c r="AS19" s="2">
        <f>AR19-AW19</f>
        <v>45084.311253882654</v>
      </c>
      <c r="AT19" s="2"/>
      <c r="AU19" s="2"/>
      <c r="AV19" s="2"/>
      <c r="AW19" s="2"/>
      <c r="AX19" s="2" t="s">
        <v>59</v>
      </c>
      <c r="AY19" s="27">
        <v>0</v>
      </c>
      <c r="AZ19" s="27">
        <v>0</v>
      </c>
      <c r="BA19" s="27">
        <v>0</v>
      </c>
      <c r="BB19" s="27">
        <v>0</v>
      </c>
      <c r="BC19" s="27">
        <v>81.941101619570361</v>
      </c>
      <c r="BD19" s="27">
        <v>80.882850826246894</v>
      </c>
      <c r="BE19" s="27">
        <v>-3.700144637728536E-12</v>
      </c>
      <c r="BF19" s="27">
        <v>21374.876344034685</v>
      </c>
      <c r="BG19" s="27">
        <v>6641.1372010430978</v>
      </c>
      <c r="BH19" s="27">
        <v>732.70778600617746</v>
      </c>
      <c r="BI19" s="27">
        <v>732.70778600617746</v>
      </c>
      <c r="BJ19" s="27">
        <f t="shared" ref="BJ19:BJ38" si="72">SUM(AY19:BI19)</f>
        <v>29644.253069535949</v>
      </c>
      <c r="BK19" s="2">
        <f>BJ19-BO19</f>
        <v>29644.253069535949</v>
      </c>
      <c r="BL19" s="2"/>
      <c r="BM19" s="2"/>
      <c r="BN19" s="2"/>
      <c r="BO19" s="2"/>
      <c r="BP19" s="4" t="s">
        <v>59</v>
      </c>
      <c r="BQ19" s="52">
        <v>2.7702288760485063E-3</v>
      </c>
      <c r="BR19" s="52">
        <v>0</v>
      </c>
      <c r="BS19" s="52">
        <v>0.47041616594696373</v>
      </c>
      <c r="BT19" s="52">
        <v>8.1685301208795566E-2</v>
      </c>
      <c r="BU19" s="52">
        <v>3.5942422219976565E-3</v>
      </c>
      <c r="BV19" s="52">
        <v>0.40788721786903809</v>
      </c>
      <c r="BW19" s="52">
        <v>0</v>
      </c>
      <c r="BX19" s="52">
        <v>4.6924640189130917</v>
      </c>
      <c r="BY19" s="52">
        <v>4.9082823892060992</v>
      </c>
      <c r="BZ19" s="52">
        <f t="shared" si="60"/>
        <v>10.567099564242035</v>
      </c>
      <c r="CA19" s="52">
        <f t="shared" si="61"/>
        <v>5.8746355453289434</v>
      </c>
      <c r="CB19" s="52">
        <v>0</v>
      </c>
      <c r="CC19" s="4" t="s">
        <v>59</v>
      </c>
      <c r="CD19" s="52">
        <v>1.0976583713789567E-3</v>
      </c>
      <c r="CE19" s="52">
        <v>0</v>
      </c>
      <c r="CF19" s="52">
        <v>0.33889962670141599</v>
      </c>
      <c r="CG19" s="52">
        <v>5.8848143602646986E-2</v>
      </c>
      <c r="CH19" s="52">
        <v>3.1011718252070075E-3</v>
      </c>
      <c r="CI19" s="52">
        <v>0.29385220126061939</v>
      </c>
      <c r="CJ19" s="52"/>
      <c r="CK19" s="52">
        <v>0.97139446663945628</v>
      </c>
      <c r="CL19" s="52">
        <v>1.7581164876582382</v>
      </c>
      <c r="CM19" s="52"/>
      <c r="CN19" s="52">
        <f t="shared" si="62"/>
        <v>3.4253097560589629</v>
      </c>
      <c r="CO19" s="52">
        <f t="shared" si="63"/>
        <v>2.4539152894195064</v>
      </c>
      <c r="CP19" s="52">
        <v>0</v>
      </c>
      <c r="CQ19" s="4" t="s">
        <v>59</v>
      </c>
      <c r="CR19" s="52">
        <v>0</v>
      </c>
      <c r="CS19" s="52">
        <v>0</v>
      </c>
      <c r="CT19" s="52">
        <v>0</v>
      </c>
      <c r="CU19" s="52">
        <v>1.7205993967138681E-2</v>
      </c>
      <c r="CV19" s="52">
        <v>7.1856717071220128E-2</v>
      </c>
      <c r="CW19" s="52">
        <v>8.5916375480928842E-2</v>
      </c>
      <c r="CX19" s="52"/>
      <c r="CY19" s="52">
        <v>9.009666499067237E-2</v>
      </c>
      <c r="CZ19" s="52">
        <v>1.1734196298476216</v>
      </c>
      <c r="DA19" s="52"/>
      <c r="DB19" s="52">
        <f t="shared" si="64"/>
        <v>1.4384953813575816</v>
      </c>
      <c r="DC19" s="52">
        <f t="shared" si="65"/>
        <v>1.3483987163669093</v>
      </c>
      <c r="DD19" s="28">
        <v>0</v>
      </c>
      <c r="DE19" s="54">
        <f t="shared" si="66"/>
        <v>1.3483987163669093</v>
      </c>
      <c r="DF19" s="54">
        <f t="shared" si="67"/>
        <v>0</v>
      </c>
      <c r="DG19" s="52">
        <v>0</v>
      </c>
      <c r="DI19" s="4" t="s">
        <v>59</v>
      </c>
      <c r="DJ19" s="52">
        <v>0</v>
      </c>
      <c r="DK19" s="52">
        <v>0</v>
      </c>
      <c r="DL19" s="52">
        <v>0</v>
      </c>
      <c r="DM19" s="52">
        <v>0</v>
      </c>
      <c r="DN19" s="52">
        <v>5.7900935165731415E-3</v>
      </c>
      <c r="DO19" s="52">
        <v>5.7514740860757753E-3</v>
      </c>
      <c r="DP19" s="52"/>
      <c r="DQ19" s="52">
        <v>0</v>
      </c>
      <c r="DR19" s="52">
        <v>0</v>
      </c>
      <c r="DS19" s="52"/>
      <c r="DT19" s="52">
        <f t="shared" si="68"/>
        <v>1.1541567602648916E-2</v>
      </c>
      <c r="DU19" s="52">
        <f t="shared" si="69"/>
        <v>1.1541567602648916E-2</v>
      </c>
      <c r="DV19" s="28">
        <v>0</v>
      </c>
      <c r="DW19" s="54">
        <f t="shared" si="70"/>
        <v>1.1541567602648916E-2</v>
      </c>
      <c r="DX19" s="54">
        <f t="shared" si="71"/>
        <v>0</v>
      </c>
      <c r="DY19" s="52">
        <v>0</v>
      </c>
    </row>
    <row r="20" spans="1:129" s="4" customFormat="1">
      <c r="A20" s="24" t="s">
        <v>60</v>
      </c>
      <c r="B20" s="26" t="s">
        <v>61</v>
      </c>
      <c r="C20" s="26" t="s">
        <v>62</v>
      </c>
      <c r="D20" s="84" t="s">
        <v>316</v>
      </c>
      <c r="E20" s="27">
        <v>0</v>
      </c>
      <c r="F20" s="27">
        <v>0</v>
      </c>
      <c r="G20" s="27">
        <v>4365.4858928673602</v>
      </c>
      <c r="H20" s="27">
        <v>255.26372596728669</v>
      </c>
      <c r="I20" s="27">
        <v>0</v>
      </c>
      <c r="J20" s="27">
        <v>906.13031845802288</v>
      </c>
      <c r="K20" s="27">
        <v>0</v>
      </c>
      <c r="L20" s="27">
        <v>13610.027682957483</v>
      </c>
      <c r="M20" s="27">
        <v>8300.6639175183554</v>
      </c>
      <c r="N20" s="27">
        <v>27437.571537768508</v>
      </c>
      <c r="O20" s="2">
        <v>27437.571537768516</v>
      </c>
      <c r="P20" s="2">
        <v>0</v>
      </c>
      <c r="Q20" s="2">
        <v>4620.7496188346468</v>
      </c>
      <c r="R20" s="2" t="s">
        <v>63</v>
      </c>
      <c r="S20" s="27">
        <v>0</v>
      </c>
      <c r="T20" s="27">
        <v>0</v>
      </c>
      <c r="U20" s="27">
        <v>4657.0522969873327</v>
      </c>
      <c r="V20" s="27">
        <v>272.31253302084991</v>
      </c>
      <c r="W20" s="27">
        <v>0</v>
      </c>
      <c r="X20" s="27">
        <v>966.64984941070679</v>
      </c>
      <c r="Y20" s="27">
        <v>0</v>
      </c>
      <c r="Z20" s="27">
        <v>14566.844705893858</v>
      </c>
      <c r="AA20" s="27">
        <v>6639.2506404373817</v>
      </c>
      <c r="AB20" s="27">
        <v>0</v>
      </c>
      <c r="AC20" s="27">
        <f t="shared" si="57"/>
        <v>27102.110025750128</v>
      </c>
      <c r="AD20" s="2">
        <f t="shared" si="58"/>
        <v>27102.110025750128</v>
      </c>
      <c r="AE20" s="2">
        <f>AC20*P20/N20</f>
        <v>0</v>
      </c>
      <c r="AF20" s="2" t="s">
        <v>63</v>
      </c>
      <c r="AG20" s="27">
        <v>0</v>
      </c>
      <c r="AH20" s="27">
        <v>0</v>
      </c>
      <c r="AI20" s="27">
        <v>0</v>
      </c>
      <c r="AJ20" s="27">
        <v>117.20173566966488</v>
      </c>
      <c r="AK20" s="27">
        <v>2004.3683126017711</v>
      </c>
      <c r="AL20" s="27">
        <v>416.04049170619925</v>
      </c>
      <c r="AM20" s="27">
        <v>0</v>
      </c>
      <c r="AN20" s="27">
        <v>16189.094036253167</v>
      </c>
      <c r="AO20" s="27">
        <v>5118.5390248749263</v>
      </c>
      <c r="AP20" s="27">
        <v>845.87017999254499</v>
      </c>
      <c r="AQ20" s="27">
        <v>845.87017999254499</v>
      </c>
      <c r="AR20" s="27">
        <f t="shared" si="59"/>
        <v>25536.983961090817</v>
      </c>
      <c r="AS20" s="2">
        <f>AR20-AW20</f>
        <v>25536.983961090817</v>
      </c>
      <c r="AT20" s="2"/>
      <c r="AU20" s="2"/>
      <c r="AV20" s="2"/>
      <c r="AW20" s="2"/>
      <c r="AX20" s="2" t="s">
        <v>63</v>
      </c>
      <c r="AY20" s="27">
        <v>0</v>
      </c>
      <c r="AZ20" s="27">
        <v>0</v>
      </c>
      <c r="BA20" s="27">
        <v>0</v>
      </c>
      <c r="BB20" s="27">
        <v>0</v>
      </c>
      <c r="BC20" s="27">
        <v>248.39532068276446</v>
      </c>
      <c r="BD20" s="27">
        <v>48.71039324795116</v>
      </c>
      <c r="BE20" s="27">
        <v>0</v>
      </c>
      <c r="BF20" s="27">
        <v>17044.330821988129</v>
      </c>
      <c r="BG20" s="27">
        <v>2368.3877172538118</v>
      </c>
      <c r="BH20" s="27">
        <v>1336.9757126882196</v>
      </c>
      <c r="BI20" s="27">
        <v>1336.9757126882196</v>
      </c>
      <c r="BJ20" s="27">
        <f t="shared" si="72"/>
        <v>22383.775678549093</v>
      </c>
      <c r="BK20" s="2">
        <f>BJ20-BO20</f>
        <v>22383.775678549093</v>
      </c>
      <c r="BL20" s="2"/>
      <c r="BM20" s="2"/>
      <c r="BN20" s="2"/>
      <c r="BO20" s="2"/>
      <c r="BP20" s="4" t="s">
        <v>63</v>
      </c>
      <c r="BQ20" s="52">
        <v>0</v>
      </c>
      <c r="BR20" s="52">
        <v>0</v>
      </c>
      <c r="BS20" s="52">
        <v>1.1303345841263688</v>
      </c>
      <c r="BT20" s="52">
        <v>5.7356093069121102E-2</v>
      </c>
      <c r="BU20" s="52">
        <v>0</v>
      </c>
      <c r="BV20" s="52">
        <v>0.17417466883915791</v>
      </c>
      <c r="BW20" s="52">
        <v>0</v>
      </c>
      <c r="BX20" s="52">
        <v>1.8680190997230346</v>
      </c>
      <c r="BY20" s="52">
        <v>1.2185151862952524</v>
      </c>
      <c r="BZ20" s="52">
        <f t="shared" si="60"/>
        <v>4.4483996320529346</v>
      </c>
      <c r="CA20" s="52">
        <f t="shared" si="61"/>
        <v>2.5803805323299001</v>
      </c>
      <c r="CB20" s="52">
        <v>0</v>
      </c>
      <c r="CC20" s="4" t="s">
        <v>63</v>
      </c>
      <c r="CD20" s="52">
        <v>0</v>
      </c>
      <c r="CE20" s="52">
        <v>0</v>
      </c>
      <c r="CF20" s="52">
        <v>1.2058284920747693</v>
      </c>
      <c r="CG20" s="52">
        <v>6.1186848733194486E-2</v>
      </c>
      <c r="CH20" s="52">
        <v>0</v>
      </c>
      <c r="CI20" s="52">
        <v>0.18580761947248695</v>
      </c>
      <c r="CJ20" s="52"/>
      <c r="CK20" s="52">
        <v>0.58112111024003921</v>
      </c>
      <c r="CL20" s="52">
        <v>0.41067351994880413</v>
      </c>
      <c r="CM20" s="52"/>
      <c r="CN20" s="52">
        <f t="shared" si="62"/>
        <v>2.4446175904692939</v>
      </c>
      <c r="CO20" s="52">
        <f t="shared" si="63"/>
        <v>1.8634964802292548</v>
      </c>
      <c r="CP20" s="52">
        <v>0</v>
      </c>
      <c r="CQ20" s="4" t="s">
        <v>63</v>
      </c>
      <c r="CR20" s="52">
        <v>0</v>
      </c>
      <c r="CS20" s="52">
        <v>0</v>
      </c>
      <c r="CT20" s="52">
        <v>0</v>
      </c>
      <c r="CU20" s="52">
        <v>2.6334465006568608E-2</v>
      </c>
      <c r="CV20" s="52">
        <v>0.38352127421272225</v>
      </c>
      <c r="CW20" s="52">
        <v>7.9970522330519073E-2</v>
      </c>
      <c r="CX20" s="52"/>
      <c r="CY20" s="52">
        <v>6.0422290574437994E-2</v>
      </c>
      <c r="CZ20" s="52">
        <v>0.32486814242233614</v>
      </c>
      <c r="DA20" s="52"/>
      <c r="DB20" s="52">
        <f t="shared" si="64"/>
        <v>0.87511669454658403</v>
      </c>
      <c r="DC20" s="52">
        <f t="shared" si="65"/>
        <v>0.81469440397214599</v>
      </c>
      <c r="DD20" s="28">
        <v>0</v>
      </c>
      <c r="DE20" s="54">
        <f t="shared" si="66"/>
        <v>0.81469440397214599</v>
      </c>
      <c r="DF20" s="54">
        <f t="shared" si="67"/>
        <v>0</v>
      </c>
      <c r="DG20" s="52">
        <v>0</v>
      </c>
      <c r="DI20" s="4" t="s">
        <v>63</v>
      </c>
      <c r="DJ20" s="52">
        <v>0</v>
      </c>
      <c r="DK20" s="52">
        <v>0</v>
      </c>
      <c r="DL20" s="52">
        <v>0</v>
      </c>
      <c r="DM20" s="52">
        <v>0</v>
      </c>
      <c r="DN20" s="52">
        <v>4.7528634980799997E-2</v>
      </c>
      <c r="DO20" s="52">
        <v>9.3630203516692941E-3</v>
      </c>
      <c r="DP20" s="52"/>
      <c r="DQ20" s="52">
        <v>0</v>
      </c>
      <c r="DR20" s="52">
        <v>0</v>
      </c>
      <c r="DS20" s="52"/>
      <c r="DT20" s="52">
        <f t="shared" si="68"/>
        <v>5.6891655332469288E-2</v>
      </c>
      <c r="DU20" s="52">
        <f t="shared" si="69"/>
        <v>5.6891655332469288E-2</v>
      </c>
      <c r="DV20" s="28">
        <v>0</v>
      </c>
      <c r="DW20" s="54">
        <f t="shared" si="70"/>
        <v>5.6891655332469288E-2</v>
      </c>
      <c r="DX20" s="54">
        <f t="shared" si="71"/>
        <v>0</v>
      </c>
      <c r="DY20" s="52">
        <v>0</v>
      </c>
    </row>
    <row r="21" spans="1:129" s="4" customFormat="1">
      <c r="A21" s="24" t="s">
        <v>64</v>
      </c>
      <c r="B21" s="26" t="s">
        <v>65</v>
      </c>
      <c r="C21" s="25" t="s">
        <v>66</v>
      </c>
      <c r="D21" s="84" t="s">
        <v>317</v>
      </c>
      <c r="E21" s="27">
        <v>753.0832540000016</v>
      </c>
      <c r="F21" s="27">
        <v>0</v>
      </c>
      <c r="G21" s="27">
        <v>13835.439996904312</v>
      </c>
      <c r="H21" s="27">
        <v>1112.3819926587025</v>
      </c>
      <c r="I21" s="27">
        <v>504.71680092636279</v>
      </c>
      <c r="J21" s="27">
        <v>4335.499861369497</v>
      </c>
      <c r="K21" s="27">
        <v>922.53360767319009</v>
      </c>
      <c r="L21" s="27">
        <v>109922.38463225502</v>
      </c>
      <c r="M21" s="27">
        <v>202955.94842978913</v>
      </c>
      <c r="N21" s="27">
        <v>334341.98857557622</v>
      </c>
      <c r="O21" s="2">
        <v>334341.98857557622</v>
      </c>
      <c r="P21" s="2">
        <v>0</v>
      </c>
      <c r="Q21" s="2">
        <v>14947.821989563014</v>
      </c>
      <c r="R21" s="2" t="s">
        <v>67</v>
      </c>
      <c r="S21" s="27">
        <v>314.87320256813842</v>
      </c>
      <c r="T21" s="27">
        <v>0</v>
      </c>
      <c r="U21" s="27">
        <v>10517.753702711201</v>
      </c>
      <c r="V21" s="27">
        <v>845.63698911875338</v>
      </c>
      <c r="W21" s="27">
        <v>641.31114631647779</v>
      </c>
      <c r="X21" s="27">
        <v>3295.863357452015</v>
      </c>
      <c r="Y21" s="27">
        <v>724.1888820234542</v>
      </c>
      <c r="Z21" s="27">
        <v>93981.131464942024</v>
      </c>
      <c r="AA21" s="27">
        <v>128605.59663973236</v>
      </c>
      <c r="AB21" s="27">
        <v>0</v>
      </c>
      <c r="AC21" s="27">
        <f t="shared" si="57"/>
        <v>238926.35538486444</v>
      </c>
      <c r="AD21" s="2">
        <f t="shared" si="58"/>
        <v>238926.35538486444</v>
      </c>
      <c r="AE21" s="2">
        <f>AC21*P21/N21</f>
        <v>0</v>
      </c>
      <c r="AF21" s="2" t="s">
        <v>67</v>
      </c>
      <c r="AG21" s="27">
        <v>0</v>
      </c>
      <c r="AH21" s="27">
        <v>0</v>
      </c>
      <c r="AI21" s="27">
        <v>0</v>
      </c>
      <c r="AJ21" s="27">
        <v>322.11984996339555</v>
      </c>
      <c r="AK21" s="27">
        <v>4370.6498784081823</v>
      </c>
      <c r="AL21" s="27">
        <v>1255.4595220682879</v>
      </c>
      <c r="AM21" s="27">
        <v>703.29366804127494</v>
      </c>
      <c r="AN21" s="27">
        <v>96154.768627655591</v>
      </c>
      <c r="AO21" s="27">
        <v>77963.518831798952</v>
      </c>
      <c r="AP21" s="27">
        <v>1982.743083479955</v>
      </c>
      <c r="AQ21" s="27">
        <v>1982.743083479955</v>
      </c>
      <c r="AR21" s="27">
        <f t="shared" si="59"/>
        <v>184735.29654489562</v>
      </c>
      <c r="AS21" s="2">
        <f>AR21-AW21</f>
        <v>184735.29654489562</v>
      </c>
      <c r="AT21" s="2"/>
      <c r="AU21" s="2"/>
      <c r="AV21" s="2"/>
      <c r="AW21" s="2"/>
      <c r="AX21" s="2" t="s">
        <v>67</v>
      </c>
      <c r="AY21" s="27">
        <v>0</v>
      </c>
      <c r="AZ21" s="27">
        <v>0</v>
      </c>
      <c r="BA21" s="27">
        <v>0</v>
      </c>
      <c r="BB21" s="27">
        <v>0</v>
      </c>
      <c r="BC21" s="27">
        <v>487.13263919343609</v>
      </c>
      <c r="BD21" s="27">
        <v>130.32288942033296</v>
      </c>
      <c r="BE21" s="27">
        <v>682.39845405909568</v>
      </c>
      <c r="BF21" s="27">
        <v>86528.537827055537</v>
      </c>
      <c r="BG21" s="27">
        <v>31493.491657479812</v>
      </c>
      <c r="BH21" s="27">
        <v>2778.5498787619595</v>
      </c>
      <c r="BI21" s="27">
        <v>2778.5498787619595</v>
      </c>
      <c r="BJ21" s="27">
        <f t="shared" si="72"/>
        <v>124878.98322473213</v>
      </c>
      <c r="BK21" s="2">
        <f>BJ21-BO21</f>
        <v>124878.98322473213</v>
      </c>
      <c r="BL21" s="2"/>
      <c r="BM21" s="2"/>
      <c r="BN21" s="2"/>
      <c r="BO21" s="2"/>
      <c r="BP21" s="4" t="s">
        <v>67</v>
      </c>
      <c r="BQ21" s="52">
        <v>0.11661719231424966</v>
      </c>
      <c r="BR21" s="52">
        <v>0</v>
      </c>
      <c r="BS21" s="52">
        <v>1.7816790409318544</v>
      </c>
      <c r="BT21" s="52">
        <v>0.1155567412046221</v>
      </c>
      <c r="BU21" s="52">
        <v>4.4658301396290907E-2</v>
      </c>
      <c r="BV21" s="52">
        <v>0.38562205273642158</v>
      </c>
      <c r="BW21" s="52">
        <v>0</v>
      </c>
      <c r="BX21" s="52">
        <v>13.389538769066897</v>
      </c>
      <c r="BY21" s="52">
        <v>14.765440511541252</v>
      </c>
      <c r="BZ21" s="52">
        <f t="shared" si="60"/>
        <v>30.599112609191586</v>
      </c>
      <c r="CA21" s="52">
        <f t="shared" si="61"/>
        <v>17.20957384012469</v>
      </c>
      <c r="CB21" s="52">
        <v>0</v>
      </c>
      <c r="CC21" s="4" t="s">
        <v>67</v>
      </c>
      <c r="CD21" s="52">
        <v>4.8759056350617259E-2</v>
      </c>
      <c r="CE21" s="52">
        <v>0</v>
      </c>
      <c r="CF21" s="52">
        <v>1.354439131245329</v>
      </c>
      <c r="CG21" s="52">
        <v>8.7846670792551623E-2</v>
      </c>
      <c r="CH21" s="52">
        <v>5.674442857546283E-2</v>
      </c>
      <c r="CI21" s="52">
        <v>0.29315133988677616</v>
      </c>
      <c r="CJ21" s="52"/>
      <c r="CK21" s="52">
        <v>3.7492278225788165</v>
      </c>
      <c r="CL21" s="52">
        <v>1.7152506326488721</v>
      </c>
      <c r="CM21" s="52"/>
      <c r="CN21" s="52">
        <f t="shared" si="62"/>
        <v>7.3054190820784255</v>
      </c>
      <c r="CO21" s="52">
        <f t="shared" si="63"/>
        <v>3.556191259499609</v>
      </c>
      <c r="CP21" s="52">
        <v>0</v>
      </c>
      <c r="CQ21" s="4" t="s">
        <v>67</v>
      </c>
      <c r="CR21" s="52">
        <v>0</v>
      </c>
      <c r="CS21" s="52">
        <v>0</v>
      </c>
      <c r="CT21" s="52">
        <v>0</v>
      </c>
      <c r="CU21" s="52">
        <v>3.3462533900000375E-2</v>
      </c>
      <c r="CV21" s="52">
        <v>0.38672340450995218</v>
      </c>
      <c r="CW21" s="52">
        <v>0.11166714185398038</v>
      </c>
      <c r="CX21" s="52"/>
      <c r="CY21" s="52">
        <v>0.35887686841077315</v>
      </c>
      <c r="CZ21" s="52">
        <v>-0.41851171856901886</v>
      </c>
      <c r="DA21" s="52"/>
      <c r="DB21" s="52">
        <f t="shared" si="64"/>
        <v>0.47221823010568725</v>
      </c>
      <c r="DC21" s="52">
        <f t="shared" si="65"/>
        <v>0.1133413616949141</v>
      </c>
      <c r="DD21" s="28">
        <v>0.7</v>
      </c>
      <c r="DE21" s="54">
        <f t="shared" si="66"/>
        <v>3.4002408508474233E-2</v>
      </c>
      <c r="DF21" s="54">
        <f t="shared" si="67"/>
        <v>7.9338953186439867E-2</v>
      </c>
      <c r="DG21" s="52">
        <v>0</v>
      </c>
      <c r="DI21" s="4" t="s">
        <v>67</v>
      </c>
      <c r="DJ21" s="52">
        <v>0</v>
      </c>
      <c r="DK21" s="52">
        <v>0</v>
      </c>
      <c r="DL21" s="52">
        <v>0</v>
      </c>
      <c r="DM21" s="52">
        <v>0</v>
      </c>
      <c r="DN21" s="52">
        <v>4.310242136014221E-2</v>
      </c>
      <c r="DO21" s="52">
        <v>1.1591599987027979E-2</v>
      </c>
      <c r="DP21" s="52"/>
      <c r="DQ21" s="52">
        <v>0</v>
      </c>
      <c r="DR21" s="52">
        <v>0</v>
      </c>
      <c r="DS21" s="52"/>
      <c r="DT21" s="52">
        <f t="shared" si="68"/>
        <v>5.4694021347170191E-2</v>
      </c>
      <c r="DU21" s="52">
        <f t="shared" si="69"/>
        <v>5.4694021347170191E-2</v>
      </c>
      <c r="DV21" s="28">
        <v>0.95</v>
      </c>
      <c r="DW21" s="54">
        <f t="shared" si="70"/>
        <v>2.734701067358512E-3</v>
      </c>
      <c r="DX21" s="54">
        <f t="shared" si="71"/>
        <v>5.1959320279811677E-2</v>
      </c>
      <c r="DY21" s="52">
        <v>0</v>
      </c>
    </row>
    <row r="22" spans="1:129" s="4" customFormat="1">
      <c r="A22" s="24" t="s">
        <v>68</v>
      </c>
      <c r="B22" s="26" t="s">
        <v>69</v>
      </c>
      <c r="C22" s="25" t="s">
        <v>70</v>
      </c>
      <c r="D22" s="84" t="s">
        <v>318</v>
      </c>
      <c r="E22" s="27">
        <v>0</v>
      </c>
      <c r="F22" s="27">
        <v>26.282884719325999</v>
      </c>
      <c r="G22" s="27">
        <v>804.12926398790808</v>
      </c>
      <c r="H22" s="27">
        <v>913.73383409873134</v>
      </c>
      <c r="I22" s="27">
        <v>0</v>
      </c>
      <c r="J22" s="27">
        <v>5800.8032865342957</v>
      </c>
      <c r="K22" s="27">
        <v>0</v>
      </c>
      <c r="L22" s="27">
        <v>19010.989966254587</v>
      </c>
      <c r="M22" s="27">
        <v>2480.8041120335843</v>
      </c>
      <c r="N22" s="27">
        <v>29036.743347628431</v>
      </c>
      <c r="O22" s="2">
        <v>29036.743347628431</v>
      </c>
      <c r="P22" s="2">
        <v>0</v>
      </c>
      <c r="Q22" s="2">
        <v>1717.8630980866394</v>
      </c>
      <c r="R22" s="2" t="s">
        <v>71</v>
      </c>
      <c r="S22" s="27">
        <v>0</v>
      </c>
      <c r="T22" s="27">
        <v>11.665242690886254</v>
      </c>
      <c r="U22" s="27">
        <v>648.90919211115761</v>
      </c>
      <c r="V22" s="27">
        <v>737.35692834896543</v>
      </c>
      <c r="W22" s="27">
        <v>9.544289474361479</v>
      </c>
      <c r="X22" s="27">
        <v>4681.0814415495779</v>
      </c>
      <c r="Y22" s="27">
        <v>0</v>
      </c>
      <c r="Z22" s="27">
        <v>15355.056520920956</v>
      </c>
      <c r="AA22" s="27">
        <v>902.37755395829106</v>
      </c>
      <c r="AB22" s="27">
        <v>0</v>
      </c>
      <c r="AC22" s="27">
        <f t="shared" si="57"/>
        <v>22345.991169054196</v>
      </c>
      <c r="AD22" s="2">
        <f t="shared" si="58"/>
        <v>22345.991169054196</v>
      </c>
      <c r="AE22" s="2">
        <f>AC22*P22/N22</f>
        <v>0</v>
      </c>
      <c r="AF22" s="2" t="s">
        <v>71</v>
      </c>
      <c r="AG22" s="27">
        <v>0</v>
      </c>
      <c r="AH22" s="27">
        <v>0</v>
      </c>
      <c r="AI22" s="27">
        <v>0</v>
      </c>
      <c r="AJ22" s="27">
        <v>280.78857750955211</v>
      </c>
      <c r="AK22" s="27">
        <v>255.18399043649754</v>
      </c>
      <c r="AL22" s="27">
        <v>1782.575234116485</v>
      </c>
      <c r="AM22" s="27">
        <v>0</v>
      </c>
      <c r="AN22" s="27">
        <v>14920.701388006237</v>
      </c>
      <c r="AO22" s="27">
        <v>989.87893684323808</v>
      </c>
      <c r="AP22" s="27">
        <v>772.8492673541781</v>
      </c>
      <c r="AQ22" s="27">
        <v>772.8492673541781</v>
      </c>
      <c r="AR22" s="27">
        <f t="shared" si="59"/>
        <v>19774.826661620362</v>
      </c>
      <c r="AS22" s="2">
        <f>AR22-AW22</f>
        <v>19774.826661620362</v>
      </c>
      <c r="AT22" s="2"/>
      <c r="AU22" s="2"/>
      <c r="AV22" s="2"/>
      <c r="AW22" s="2"/>
      <c r="AX22" s="2" t="s">
        <v>71</v>
      </c>
      <c r="AY22" s="27">
        <v>0</v>
      </c>
      <c r="AZ22" s="27">
        <v>0</v>
      </c>
      <c r="BA22" s="27">
        <v>0</v>
      </c>
      <c r="BB22" s="27">
        <v>0</v>
      </c>
      <c r="BC22" s="27">
        <v>53.999735744806181</v>
      </c>
      <c r="BD22" s="27">
        <v>179.59611619006498</v>
      </c>
      <c r="BE22" s="27">
        <v>0</v>
      </c>
      <c r="BF22" s="27">
        <v>14211.972869833962</v>
      </c>
      <c r="BG22" s="27">
        <v>312.72934865362777</v>
      </c>
      <c r="BH22" s="27">
        <v>1051.1813337069198</v>
      </c>
      <c r="BI22" s="27">
        <v>1051.1813337069198</v>
      </c>
      <c r="BJ22" s="27">
        <f t="shared" si="72"/>
        <v>16860.660737836301</v>
      </c>
      <c r="BK22" s="2">
        <f>BJ22-BO22</f>
        <v>16860.660737836301</v>
      </c>
      <c r="BL22" s="2"/>
      <c r="BM22" s="2"/>
      <c r="BN22" s="2"/>
      <c r="BO22" s="2"/>
      <c r="BP22" s="4" t="s">
        <v>71</v>
      </c>
      <c r="BQ22" s="52">
        <v>0</v>
      </c>
      <c r="BR22" s="52">
        <v>5.0203868334233346E-3</v>
      </c>
      <c r="BS22" s="52">
        <v>9.6544195316697556E-2</v>
      </c>
      <c r="BT22" s="52">
        <v>9.4920861100540529E-2</v>
      </c>
      <c r="BU22" s="52">
        <v>0</v>
      </c>
      <c r="BV22" s="52">
        <v>0.51578679286273021</v>
      </c>
      <c r="BW22" s="52">
        <v>0</v>
      </c>
      <c r="BX22" s="52">
        <v>2.603901158912874</v>
      </c>
      <c r="BY22" s="52">
        <v>0.24548699852936523</v>
      </c>
      <c r="BZ22" s="52">
        <f t="shared" si="60"/>
        <v>3.5616603935556306</v>
      </c>
      <c r="CA22" s="52">
        <f t="shared" si="61"/>
        <v>0.95775923464275659</v>
      </c>
      <c r="CB22" s="52">
        <v>0</v>
      </c>
      <c r="CC22" s="4" t="s">
        <v>71</v>
      </c>
      <c r="CD22" s="52">
        <v>0</v>
      </c>
      <c r="CE22" s="52">
        <v>2.2282192932555297E-3</v>
      </c>
      <c r="CF22" s="52">
        <v>7.7908389349354762E-2</v>
      </c>
      <c r="CG22" s="52">
        <v>7.6598405318293927E-2</v>
      </c>
      <c r="CH22" s="52">
        <v>8.4434591159092843E-4</v>
      </c>
      <c r="CI22" s="52">
        <v>0.41622510962763842</v>
      </c>
      <c r="CJ22" s="52"/>
      <c r="CK22" s="52">
        <v>0.61256556745097757</v>
      </c>
      <c r="CL22" s="52">
        <v>5.0637545579632043E-2</v>
      </c>
      <c r="CM22" s="52"/>
      <c r="CN22" s="52">
        <f t="shared" si="62"/>
        <v>1.2370075825307432</v>
      </c>
      <c r="CO22" s="52">
        <f t="shared" si="63"/>
        <v>0.62444201507976571</v>
      </c>
      <c r="CP22" s="52">
        <v>0</v>
      </c>
      <c r="CQ22" s="4" t="s">
        <v>71</v>
      </c>
      <c r="CR22" s="52">
        <v>0</v>
      </c>
      <c r="CS22" s="52">
        <v>0</v>
      </c>
      <c r="CT22" s="52">
        <v>0</v>
      </c>
      <c r="CU22" s="52">
        <v>2.9168990541640228E-2</v>
      </c>
      <c r="CV22" s="52">
        <v>2.2575128259396175E-2</v>
      </c>
      <c r="CW22" s="52">
        <v>0.15850024860794534</v>
      </c>
      <c r="CX22" s="52"/>
      <c r="CY22" s="52">
        <v>5.5688289463366895E-2</v>
      </c>
      <c r="CZ22" s="52">
        <v>6.0495381138391459E-2</v>
      </c>
      <c r="DA22" s="52"/>
      <c r="DB22" s="52">
        <f t="shared" si="64"/>
        <v>0.32642803801074011</v>
      </c>
      <c r="DC22" s="52">
        <f t="shared" si="65"/>
        <v>0.2707397485473732</v>
      </c>
      <c r="DD22" s="28">
        <v>0</v>
      </c>
      <c r="DE22" s="54">
        <f t="shared" si="66"/>
        <v>0.2707397485473732</v>
      </c>
      <c r="DF22" s="54">
        <f t="shared" si="67"/>
        <v>0</v>
      </c>
      <c r="DG22" s="52">
        <v>0</v>
      </c>
      <c r="DI22" s="4" t="s">
        <v>71</v>
      </c>
      <c r="DJ22" s="52">
        <v>0</v>
      </c>
      <c r="DK22" s="52">
        <v>0</v>
      </c>
      <c r="DL22" s="52">
        <v>0</v>
      </c>
      <c r="DM22" s="52">
        <v>0</v>
      </c>
      <c r="DN22" s="52">
        <v>4.777145142715605E-3</v>
      </c>
      <c r="DO22" s="52">
        <v>1.5969047768834076E-2</v>
      </c>
      <c r="DP22" s="52"/>
      <c r="DQ22" s="52">
        <v>0</v>
      </c>
      <c r="DR22" s="52">
        <v>0</v>
      </c>
      <c r="DS22" s="52"/>
      <c r="DT22" s="52">
        <f t="shared" si="68"/>
        <v>2.074619291154968E-2</v>
      </c>
      <c r="DU22" s="52">
        <f t="shared" si="69"/>
        <v>2.074619291154968E-2</v>
      </c>
      <c r="DV22" s="28">
        <v>0</v>
      </c>
      <c r="DW22" s="54">
        <f t="shared" si="70"/>
        <v>2.074619291154968E-2</v>
      </c>
      <c r="DX22" s="54">
        <f t="shared" si="71"/>
        <v>0</v>
      </c>
      <c r="DY22" s="52">
        <v>0</v>
      </c>
    </row>
    <row r="23" spans="1:129" s="4" customFormat="1">
      <c r="A23" s="24" t="s">
        <v>72</v>
      </c>
      <c r="B23" s="26" t="s">
        <v>73</v>
      </c>
      <c r="C23" s="29" t="s">
        <v>74</v>
      </c>
      <c r="D23" s="26" t="s">
        <v>319</v>
      </c>
      <c r="E23" s="27">
        <v>2641.9378609096639</v>
      </c>
      <c r="F23" s="27">
        <v>32442.809173339156</v>
      </c>
      <c r="G23" s="27">
        <v>222443.5524334535</v>
      </c>
      <c r="H23" s="27">
        <v>22459.54726641762</v>
      </c>
      <c r="I23" s="27">
        <v>16595.663217686961</v>
      </c>
      <c r="J23" s="27">
        <v>19727.524648709561</v>
      </c>
      <c r="K23" s="27">
        <v>2042.6506800008065</v>
      </c>
      <c r="L23" s="27">
        <v>179650.92001085746</v>
      </c>
      <c r="M23" s="27">
        <v>312829.46757681982</v>
      </c>
      <c r="N23" s="27">
        <v>810834.07286819443</v>
      </c>
      <c r="O23" s="2">
        <v>810834.07286819455</v>
      </c>
      <c r="P23" s="2">
        <v>1525426.8134710744</v>
      </c>
      <c r="Q23" s="2">
        <v>1741032.2945005484</v>
      </c>
      <c r="R23" s="2" t="s">
        <v>75</v>
      </c>
      <c r="S23" s="27">
        <v>248.99223097413955</v>
      </c>
      <c r="T23" s="27">
        <v>4774.3382783375255</v>
      </c>
      <c r="U23" s="27">
        <v>255768.9797631609</v>
      </c>
      <c r="V23" s="27">
        <v>40749.590792257353</v>
      </c>
      <c r="W23" s="27">
        <v>8768.1956005010361</v>
      </c>
      <c r="X23" s="27">
        <v>3359.8328002928943</v>
      </c>
      <c r="Y23" s="27">
        <v>1603.4729338000773</v>
      </c>
      <c r="Z23" s="27">
        <v>258199.63737269098</v>
      </c>
      <c r="AA23" s="27">
        <v>283974.36145168374</v>
      </c>
      <c r="AB23" s="27">
        <v>16508.943656080202</v>
      </c>
      <c r="AC23" s="27">
        <f t="shared" si="57"/>
        <v>873956.3448797788</v>
      </c>
      <c r="AD23" s="2">
        <f t="shared" si="58"/>
        <v>873956.3448797788</v>
      </c>
      <c r="AE23" s="27">
        <v>1531439.3919639718</v>
      </c>
      <c r="AF23" s="2" t="s">
        <v>75</v>
      </c>
      <c r="AG23" s="27">
        <v>0</v>
      </c>
      <c r="AH23" s="27">
        <v>0</v>
      </c>
      <c r="AI23" s="27">
        <v>0</v>
      </c>
      <c r="AJ23" s="27">
        <v>13533.350077630363</v>
      </c>
      <c r="AK23" s="27">
        <v>89523.762623286006</v>
      </c>
      <c r="AL23" s="27">
        <v>1115.8343582019083</v>
      </c>
      <c r="AM23" s="27">
        <v>1557.2075037471202</v>
      </c>
      <c r="AN23" s="27">
        <v>317450.15881254332</v>
      </c>
      <c r="AO23" s="27">
        <v>169243.47603828341</v>
      </c>
      <c r="AP23" s="27">
        <v>115138.5204337623</v>
      </c>
      <c r="AQ23" s="27">
        <v>0</v>
      </c>
      <c r="AR23" s="27">
        <f t="shared" si="59"/>
        <v>707562.30984745442</v>
      </c>
      <c r="AS23" s="2">
        <f>AR23</f>
        <v>707562.30984745442</v>
      </c>
      <c r="AT23" s="27">
        <v>220156.86989844218</v>
      </c>
      <c r="AU23" s="27">
        <v>880573.65538104658</v>
      </c>
      <c r="AV23" s="27">
        <v>465628.89722726919</v>
      </c>
      <c r="AW23" s="2">
        <f>SUM(AT23:AV23)</f>
        <v>1566359.422506758</v>
      </c>
      <c r="AX23" s="2" t="s">
        <v>75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1510.9420736941631</v>
      </c>
      <c r="BF23" s="27">
        <v>399377.16643598524</v>
      </c>
      <c r="BG23" s="27">
        <v>53414.975921309939</v>
      </c>
      <c r="BH23" s="27">
        <v>84733.978132299206</v>
      </c>
      <c r="BI23" s="27">
        <v>0</v>
      </c>
      <c r="BJ23" s="27">
        <f t="shared" si="72"/>
        <v>539037.06256328849</v>
      </c>
      <c r="BK23" s="2">
        <f>BJ23</f>
        <v>539037.06256328849</v>
      </c>
      <c r="BL23" s="27">
        <v>528337.16050227138</v>
      </c>
      <c r="BM23" s="27">
        <v>100629.49873872979</v>
      </c>
      <c r="BN23" s="27">
        <v>1117426.1767181861</v>
      </c>
      <c r="BO23" s="2">
        <f>SUM(BL23:BN23)</f>
        <v>1746392.8359591872</v>
      </c>
      <c r="BP23" s="4" t="s">
        <v>75</v>
      </c>
      <c r="BQ23" s="52">
        <v>0.26663912722081978</v>
      </c>
      <c r="BR23" s="52">
        <v>2.2688612646530228</v>
      </c>
      <c r="BS23" s="52">
        <v>16.81317926843365</v>
      </c>
      <c r="BT23" s="52">
        <v>1.5222207912840875</v>
      </c>
      <c r="BU23" s="52">
        <v>0.95785489613051744</v>
      </c>
      <c r="BV23" s="52">
        <v>1.1447236697143814</v>
      </c>
      <c r="BW23" s="52">
        <v>0</v>
      </c>
      <c r="BX23" s="52">
        <v>23.097693856367112</v>
      </c>
      <c r="BY23" s="52">
        <v>20.680582888606224</v>
      </c>
      <c r="BZ23" s="52">
        <f t="shared" si="60"/>
        <v>66.751755762409815</v>
      </c>
      <c r="CA23" s="52">
        <f t="shared" si="61"/>
        <v>43.654061906042699</v>
      </c>
      <c r="CB23" s="52">
        <v>103.33835485764693</v>
      </c>
      <c r="CC23" s="4" t="s">
        <v>75</v>
      </c>
      <c r="CD23" s="52">
        <v>2.5129686861313904E-2</v>
      </c>
      <c r="CE23" s="52">
        <v>0.33388943374767893</v>
      </c>
      <c r="CF23" s="52">
        <v>19.332049236845751</v>
      </c>
      <c r="CG23" s="52">
        <v>2.761848830009241</v>
      </c>
      <c r="CH23" s="52">
        <v>0.50607553166173203</v>
      </c>
      <c r="CI23" s="52">
        <v>0.1949600976942443</v>
      </c>
      <c r="CJ23" s="52"/>
      <c r="CK23" s="52">
        <v>10.300464030682241</v>
      </c>
      <c r="CL23" s="52">
        <v>15.180966363709757</v>
      </c>
      <c r="CM23" s="52"/>
      <c r="CN23" s="52">
        <f t="shared" si="62"/>
        <v>48.635383211211959</v>
      </c>
      <c r="CO23" s="52">
        <f t="shared" si="63"/>
        <v>38.334919180529724</v>
      </c>
      <c r="CP23" s="52">
        <v>103.74567034759474</v>
      </c>
      <c r="CQ23" s="4" t="s">
        <v>75</v>
      </c>
      <c r="CR23" s="52">
        <v>0</v>
      </c>
      <c r="CS23" s="52">
        <v>0</v>
      </c>
      <c r="CT23" s="52">
        <v>0</v>
      </c>
      <c r="CU23" s="52">
        <v>0.91723785076906195</v>
      </c>
      <c r="CV23" s="52">
        <v>5.1670592023915702</v>
      </c>
      <c r="CW23" s="52">
        <v>6.4748214692907952E-2</v>
      </c>
      <c r="CX23" s="52"/>
      <c r="CY23" s="52">
        <v>1.1848140294768639</v>
      </c>
      <c r="CZ23" s="52">
        <v>7.5739509101006837</v>
      </c>
      <c r="DA23" s="52"/>
      <c r="DB23" s="52">
        <f t="shared" si="64"/>
        <v>14.907810207431087</v>
      </c>
      <c r="DC23" s="52">
        <f t="shared" si="65"/>
        <v>13.722996177954224</v>
      </c>
      <c r="DD23" s="28">
        <v>0.7</v>
      </c>
      <c r="DE23" s="54">
        <f t="shared" si="66"/>
        <v>4.1168988533862674</v>
      </c>
      <c r="DF23" s="54">
        <f t="shared" si="67"/>
        <v>9.6060973245679566</v>
      </c>
      <c r="DG23" s="52">
        <v>59.653489813123315</v>
      </c>
      <c r="DI23" s="4" t="s">
        <v>75</v>
      </c>
      <c r="DJ23" s="52">
        <v>0</v>
      </c>
      <c r="DK23" s="52">
        <v>0</v>
      </c>
      <c r="DL23" s="52">
        <v>0</v>
      </c>
      <c r="DM23" s="52">
        <v>0</v>
      </c>
      <c r="DN23" s="52">
        <v>0</v>
      </c>
      <c r="DO23" s="52">
        <v>0</v>
      </c>
      <c r="DP23" s="52"/>
      <c r="DQ23" s="52">
        <v>0</v>
      </c>
      <c r="DR23" s="52">
        <v>0</v>
      </c>
      <c r="DS23" s="52"/>
      <c r="DT23" s="52">
        <f t="shared" si="68"/>
        <v>0</v>
      </c>
      <c r="DU23" s="52">
        <f t="shared" si="69"/>
        <v>0</v>
      </c>
      <c r="DV23" s="28">
        <v>0.95</v>
      </c>
      <c r="DW23" s="54">
        <f t="shared" si="70"/>
        <v>0</v>
      </c>
      <c r="DX23" s="54">
        <f t="shared" si="71"/>
        <v>0</v>
      </c>
      <c r="DY23" s="52">
        <v>6.8170342608227532</v>
      </c>
    </row>
    <row r="24" spans="1:129" s="4" customFormat="1">
      <c r="A24" s="24" t="s">
        <v>76</v>
      </c>
      <c r="B24" s="26" t="s">
        <v>77</v>
      </c>
      <c r="C24" s="25" t="s">
        <v>78</v>
      </c>
      <c r="D24" s="26" t="s">
        <v>320</v>
      </c>
      <c r="E24" s="27">
        <v>0</v>
      </c>
      <c r="F24" s="27">
        <v>0</v>
      </c>
      <c r="G24" s="27">
        <v>12069.537872747465</v>
      </c>
      <c r="H24" s="27">
        <v>23.54960172888245</v>
      </c>
      <c r="I24" s="27">
        <v>0</v>
      </c>
      <c r="J24" s="27">
        <v>2476.0367255557062</v>
      </c>
      <c r="K24" s="27">
        <v>-3.680611371237319E-12</v>
      </c>
      <c r="L24" s="27">
        <v>7001.8339795960947</v>
      </c>
      <c r="M24" s="27">
        <v>13154.150848935071</v>
      </c>
      <c r="N24" s="27">
        <v>34725.109028563216</v>
      </c>
      <c r="O24" s="2">
        <v>34725.109028563216</v>
      </c>
      <c r="P24" s="2">
        <v>0</v>
      </c>
      <c r="Q24" s="2">
        <v>12093.087474476348</v>
      </c>
      <c r="R24" s="2" t="s">
        <v>79</v>
      </c>
      <c r="S24" s="27">
        <v>0</v>
      </c>
      <c r="T24" s="27">
        <v>0</v>
      </c>
      <c r="U24" s="27">
        <v>1127.9354417734162</v>
      </c>
      <c r="V24" s="27">
        <v>2.2007827233909221</v>
      </c>
      <c r="W24" s="27">
        <v>0</v>
      </c>
      <c r="X24" s="27">
        <v>231.39324863406173</v>
      </c>
      <c r="Y24" s="27">
        <v>-2.8892799264212958E-12</v>
      </c>
      <c r="Z24" s="27">
        <v>3511.8643585531136</v>
      </c>
      <c r="AA24" s="27">
        <v>5768.9459944176151</v>
      </c>
      <c r="AB24" s="27">
        <v>0</v>
      </c>
      <c r="AC24" s="27">
        <f t="shared" si="57"/>
        <v>10642.339826101594</v>
      </c>
      <c r="AD24" s="2">
        <f t="shared" si="58"/>
        <v>10642.339826101594</v>
      </c>
      <c r="AE24" s="2">
        <f>AC24*P24/N24</f>
        <v>0</v>
      </c>
      <c r="AF24" s="2" t="s">
        <v>79</v>
      </c>
      <c r="AG24" s="27">
        <v>0</v>
      </c>
      <c r="AH24" s="27">
        <v>0</v>
      </c>
      <c r="AI24" s="27">
        <v>0</v>
      </c>
      <c r="AJ24" s="27">
        <v>0.65204508857380539</v>
      </c>
      <c r="AK24" s="27">
        <v>334.18326907959926</v>
      </c>
      <c r="AL24" s="27">
        <v>68.556895552372524</v>
      </c>
      <c r="AM24" s="27">
        <v>-2.8059147660113446E-12</v>
      </c>
      <c r="AN24" s="27">
        <v>2296.0456189415509</v>
      </c>
      <c r="AO24" s="27">
        <v>2710.1679200267758</v>
      </c>
      <c r="AP24" s="27">
        <v>955.0861399361122</v>
      </c>
      <c r="AQ24" s="27">
        <v>955.0861399361122</v>
      </c>
      <c r="AR24" s="27">
        <f t="shared" si="59"/>
        <v>7319.7780285610934</v>
      </c>
      <c r="AS24" s="2">
        <f t="shared" ref="AS24:AS38" si="73">AR24-AW24</f>
        <v>7319.7780285610934</v>
      </c>
      <c r="AT24" s="2"/>
      <c r="AU24" s="2"/>
      <c r="AV24" s="2"/>
      <c r="AW24" s="2"/>
      <c r="AX24" s="2" t="s">
        <v>79</v>
      </c>
      <c r="AY24" s="27">
        <v>0</v>
      </c>
      <c r="AZ24" s="27">
        <v>0</v>
      </c>
      <c r="BA24" s="27">
        <v>0</v>
      </c>
      <c r="BB24" s="27">
        <v>0</v>
      </c>
      <c r="BC24" s="27">
        <v>17.078481373881832</v>
      </c>
      <c r="BD24" s="27">
        <v>3.4967866715345646</v>
      </c>
      <c r="BE24" s="27">
        <v>-2.7225496056013946E-12</v>
      </c>
      <c r="BF24" s="27">
        <v>858.14161239049508</v>
      </c>
      <c r="BG24" s="27">
        <v>685.13487542866756</v>
      </c>
      <c r="BH24" s="27">
        <v>794.04313082820443</v>
      </c>
      <c r="BI24" s="27">
        <v>794.04313082820443</v>
      </c>
      <c r="BJ24" s="27">
        <f t="shared" si="72"/>
        <v>3151.9380175209853</v>
      </c>
      <c r="BK24" s="2">
        <f t="shared" ref="BK24:BK38" si="74">BJ24-BO24</f>
        <v>3151.9380175209853</v>
      </c>
      <c r="BL24" s="2"/>
      <c r="BM24" s="2"/>
      <c r="BN24" s="2"/>
      <c r="BO24" s="2"/>
      <c r="BP24" s="4" t="s">
        <v>79</v>
      </c>
      <c r="BQ24" s="52">
        <v>0</v>
      </c>
      <c r="BR24" s="52">
        <v>0</v>
      </c>
      <c r="BS24" s="52">
        <v>0.95911019343202419</v>
      </c>
      <c r="BT24" s="52">
        <v>1.5960804455594758E-3</v>
      </c>
      <c r="BU24" s="52">
        <v>0</v>
      </c>
      <c r="BV24" s="52">
        <v>0.14367916696237923</v>
      </c>
      <c r="BW24" s="52">
        <v>0</v>
      </c>
      <c r="BX24" s="52">
        <v>0.91626346415185489</v>
      </c>
      <c r="BY24" s="52">
        <v>0.95274558769503404</v>
      </c>
      <c r="BZ24" s="52">
        <f t="shared" si="60"/>
        <v>2.9733944926868521</v>
      </c>
      <c r="CA24" s="52">
        <f t="shared" si="61"/>
        <v>2.0571310285349971</v>
      </c>
      <c r="CB24" s="52">
        <v>0</v>
      </c>
      <c r="CC24" s="4" t="s">
        <v>79</v>
      </c>
      <c r="CD24" s="52">
        <v>0</v>
      </c>
      <c r="CE24" s="52">
        <v>0</v>
      </c>
      <c r="CF24" s="52">
        <v>8.9631797931620114E-2</v>
      </c>
      <c r="CG24" s="52">
        <v>1.4915862740138457E-4</v>
      </c>
      <c r="CH24" s="52">
        <v>0</v>
      </c>
      <c r="CI24" s="52">
        <v>1.3427260129592413E-2</v>
      </c>
      <c r="CJ24" s="52"/>
      <c r="CK24" s="52">
        <v>0.14010024519785519</v>
      </c>
      <c r="CL24" s="52">
        <v>-0.50735465635360866</v>
      </c>
      <c r="CM24" s="52"/>
      <c r="CN24" s="52">
        <f t="shared" si="62"/>
        <v>-0.26404619446713956</v>
      </c>
      <c r="CO24" s="52">
        <f t="shared" si="63"/>
        <v>-0.40414643966499475</v>
      </c>
      <c r="CP24" s="52">
        <v>0</v>
      </c>
      <c r="CQ24" s="4" t="s">
        <v>79</v>
      </c>
      <c r="CR24" s="52">
        <v>0</v>
      </c>
      <c r="CS24" s="52">
        <v>0</v>
      </c>
      <c r="CT24" s="52">
        <v>0</v>
      </c>
      <c r="CU24" s="52">
        <v>4.4192527223055266E-5</v>
      </c>
      <c r="CV24" s="52">
        <v>1.9288551720845704E-2</v>
      </c>
      <c r="CW24" s="52">
        <v>3.9782114460685187E-3</v>
      </c>
      <c r="CX24" s="52"/>
      <c r="CY24" s="52">
        <v>8.5694934657356628E-3</v>
      </c>
      <c r="CZ24" s="52">
        <v>-0.4111432522469976</v>
      </c>
      <c r="DA24" s="52"/>
      <c r="DB24" s="52">
        <f t="shared" si="64"/>
        <v>-0.37926280308712468</v>
      </c>
      <c r="DC24" s="52">
        <f t="shared" si="65"/>
        <v>-0.38783229655286033</v>
      </c>
      <c r="DD24" s="28">
        <v>0.7</v>
      </c>
      <c r="DE24" s="54">
        <f t="shared" si="66"/>
        <v>-0.11634968896585812</v>
      </c>
      <c r="DF24" s="54">
        <f t="shared" si="67"/>
        <v>-0.27148260758700221</v>
      </c>
      <c r="DG24" s="52">
        <v>0</v>
      </c>
      <c r="DI24" s="4" t="s">
        <v>79</v>
      </c>
      <c r="DJ24" s="52">
        <v>0</v>
      </c>
      <c r="DK24" s="52">
        <v>0</v>
      </c>
      <c r="DL24" s="52">
        <v>0</v>
      </c>
      <c r="DM24" s="52">
        <v>0</v>
      </c>
      <c r="DN24" s="52">
        <v>9.8574405654986634E-4</v>
      </c>
      <c r="DO24" s="52">
        <v>2.029111243891094E-4</v>
      </c>
      <c r="DP24" s="52"/>
      <c r="DQ24" s="52">
        <v>0</v>
      </c>
      <c r="DR24" s="52">
        <v>0</v>
      </c>
      <c r="DS24" s="52"/>
      <c r="DT24" s="52">
        <f t="shared" si="68"/>
        <v>1.1886551809389757E-3</v>
      </c>
      <c r="DU24" s="52">
        <f t="shared" si="69"/>
        <v>1.1886551809389757E-3</v>
      </c>
      <c r="DV24" s="28">
        <v>0.95</v>
      </c>
      <c r="DW24" s="54">
        <f t="shared" si="70"/>
        <v>5.9432759046948833E-5</v>
      </c>
      <c r="DX24" s="54">
        <f t="shared" si="71"/>
        <v>1.1292224218920268E-3</v>
      </c>
      <c r="DY24" s="52">
        <v>0</v>
      </c>
    </row>
    <row r="25" spans="1:129" s="4" customFormat="1">
      <c r="A25" s="24" t="s">
        <v>80</v>
      </c>
      <c r="B25" s="26" t="s">
        <v>81</v>
      </c>
      <c r="C25" s="26" t="s">
        <v>82</v>
      </c>
      <c r="D25" s="84" t="s">
        <v>321</v>
      </c>
      <c r="E25" s="27">
        <v>132.43437124362862</v>
      </c>
      <c r="F25" s="27">
        <v>1.1297003122086795</v>
      </c>
      <c r="G25" s="27">
        <v>3144.87684205916</v>
      </c>
      <c r="H25" s="27">
        <v>975.99900927914916</v>
      </c>
      <c r="I25" s="27">
        <v>0</v>
      </c>
      <c r="J25" s="27">
        <v>4515.2423405615755</v>
      </c>
      <c r="K25" s="27">
        <v>-4.4337866711430252E-12</v>
      </c>
      <c r="L25" s="27">
        <v>67738.489575244341</v>
      </c>
      <c r="M25" s="27">
        <v>28538.220709161844</v>
      </c>
      <c r="N25" s="27">
        <v>105046.39254786191</v>
      </c>
      <c r="O25" s="2">
        <v>105046.39254786191</v>
      </c>
      <c r="P25" s="2">
        <v>0</v>
      </c>
      <c r="Q25" s="2">
        <v>4120.8758513383091</v>
      </c>
      <c r="R25" s="2" t="s">
        <v>83</v>
      </c>
      <c r="S25" s="27">
        <v>54.150545229136348</v>
      </c>
      <c r="T25" s="27">
        <v>0.46191851312593907</v>
      </c>
      <c r="U25" s="27">
        <v>2337.9922801392977</v>
      </c>
      <c r="V25" s="27">
        <v>725.58585398344439</v>
      </c>
      <c r="W25" s="27">
        <v>44.682924880032779</v>
      </c>
      <c r="X25" s="27">
        <v>3356.7615729838717</v>
      </c>
      <c r="Y25" s="27">
        <v>-3.4805225368472746E-12</v>
      </c>
      <c r="Z25" s="27">
        <v>54611.726056585976</v>
      </c>
      <c r="AA25" s="27">
        <v>19503.448216734789</v>
      </c>
      <c r="AB25" s="27">
        <v>0</v>
      </c>
      <c r="AC25" s="27">
        <f t="shared" si="57"/>
        <v>80634.809369049675</v>
      </c>
      <c r="AD25" s="2">
        <f t="shared" si="58"/>
        <v>80634.809369049675</v>
      </c>
      <c r="AE25" s="2">
        <f>AC25*P25/N25</f>
        <v>0</v>
      </c>
      <c r="AF25" s="2" t="s">
        <v>83</v>
      </c>
      <c r="AG25" s="27">
        <v>0</v>
      </c>
      <c r="AH25" s="27">
        <v>0</v>
      </c>
      <c r="AI25" s="27">
        <v>0</v>
      </c>
      <c r="AJ25" s="27">
        <v>297.1183691441542</v>
      </c>
      <c r="AK25" s="27">
        <v>998.03894094953648</v>
      </c>
      <c r="AL25" s="27">
        <v>1374.5520515529374</v>
      </c>
      <c r="AM25" s="27">
        <v>-3.3800980965078747E-12</v>
      </c>
      <c r="AN25" s="27">
        <v>57164.883752816037</v>
      </c>
      <c r="AO25" s="27">
        <v>13259.861051931666</v>
      </c>
      <c r="AP25" s="27">
        <v>889.9031205488759</v>
      </c>
      <c r="AQ25" s="27">
        <v>889.9031205488759</v>
      </c>
      <c r="AR25" s="27">
        <f t="shared" si="59"/>
        <v>74874.260407492067</v>
      </c>
      <c r="AS25" s="2">
        <f t="shared" si="73"/>
        <v>74874.260407492067</v>
      </c>
      <c r="AT25" s="2"/>
      <c r="AU25" s="2"/>
      <c r="AV25" s="2"/>
      <c r="AW25" s="2"/>
      <c r="AX25" s="2" t="s">
        <v>83</v>
      </c>
      <c r="AY25" s="27">
        <v>0</v>
      </c>
      <c r="AZ25" s="27">
        <v>0</v>
      </c>
      <c r="BA25" s="27">
        <v>0</v>
      </c>
      <c r="BB25" s="27">
        <v>0</v>
      </c>
      <c r="BC25" s="27">
        <v>134.2657923605579</v>
      </c>
      <c r="BD25" s="27">
        <v>142.49645112934965</v>
      </c>
      <c r="BE25" s="27">
        <v>-3.2796736561684744E-12</v>
      </c>
      <c r="BF25" s="27">
        <v>57778.139191820694</v>
      </c>
      <c r="BG25" s="27">
        <v>5859.965607846917</v>
      </c>
      <c r="BH25" s="27">
        <v>1245.4300957045832</v>
      </c>
      <c r="BI25" s="27">
        <v>1245.4300957045832</v>
      </c>
      <c r="BJ25" s="27">
        <f t="shared" si="72"/>
        <v>66405.727234566686</v>
      </c>
      <c r="BK25" s="2">
        <f t="shared" si="74"/>
        <v>66405.727234566686</v>
      </c>
      <c r="BL25" s="2"/>
      <c r="BM25" s="2"/>
      <c r="BN25" s="2"/>
      <c r="BO25" s="2"/>
      <c r="BP25" s="4" t="s">
        <v>83</v>
      </c>
      <c r="BQ25" s="52">
        <v>1.3366390628717667E-2</v>
      </c>
      <c r="BR25" s="52">
        <v>1.4069495439894265E-4</v>
      </c>
      <c r="BS25" s="52">
        <v>0.24874450888782396</v>
      </c>
      <c r="BT25" s="52">
        <v>6.6150628739004583E-2</v>
      </c>
      <c r="BU25" s="52">
        <v>0</v>
      </c>
      <c r="BV25" s="52">
        <v>0.26199547329744077</v>
      </c>
      <c r="BW25" s="52">
        <v>0</v>
      </c>
      <c r="BX25" s="52">
        <v>9.2870767088038875</v>
      </c>
      <c r="BY25" s="52">
        <v>1.9299546411782142</v>
      </c>
      <c r="BZ25" s="52">
        <f t="shared" si="60"/>
        <v>11.807429046489489</v>
      </c>
      <c r="CA25" s="52">
        <f t="shared" si="61"/>
        <v>2.5203523376856012</v>
      </c>
      <c r="CB25" s="52">
        <v>0</v>
      </c>
      <c r="CC25" s="4" t="s">
        <v>83</v>
      </c>
      <c r="CD25" s="52">
        <v>5.4653284754844333E-3</v>
      </c>
      <c r="CE25" s="52">
        <v>5.7528181091868581E-5</v>
      </c>
      <c r="CF25" s="52">
        <v>0.18492385257477542</v>
      </c>
      <c r="CG25" s="52">
        <v>4.9178288081032619E-2</v>
      </c>
      <c r="CH25" s="52">
        <v>2.5790306916349142E-3</v>
      </c>
      <c r="CI25" s="52">
        <v>0.19477500225407399</v>
      </c>
      <c r="CJ25" s="52"/>
      <c r="CK25" s="52">
        <v>2.178647985811744</v>
      </c>
      <c r="CL25" s="52">
        <v>1.1904864983606471</v>
      </c>
      <c r="CM25" s="52"/>
      <c r="CN25" s="52">
        <f t="shared" si="62"/>
        <v>3.8061135144304847</v>
      </c>
      <c r="CO25" s="52">
        <f t="shared" si="63"/>
        <v>1.6274655286187403</v>
      </c>
      <c r="CP25" s="52">
        <v>0</v>
      </c>
      <c r="CQ25" s="4" t="s">
        <v>83</v>
      </c>
      <c r="CR25" s="52">
        <v>0</v>
      </c>
      <c r="CS25" s="52">
        <v>0</v>
      </c>
      <c r="CT25" s="52">
        <v>0</v>
      </c>
      <c r="CU25" s="52">
        <v>2.0137896393265686E-2</v>
      </c>
      <c r="CV25" s="52">
        <v>5.7605294798100344E-2</v>
      </c>
      <c r="CW25" s="52">
        <v>7.975793726141174E-2</v>
      </c>
      <c r="CX25" s="52"/>
      <c r="CY25" s="52">
        <v>0.21335555955335148</v>
      </c>
      <c r="CZ25" s="52">
        <v>0.82796509438487476</v>
      </c>
      <c r="DA25" s="52"/>
      <c r="DB25" s="52">
        <f t="shared" si="64"/>
        <v>1.1988217823910041</v>
      </c>
      <c r="DC25" s="52">
        <f t="shared" si="65"/>
        <v>0.98546622283765251</v>
      </c>
      <c r="DD25" s="28">
        <v>0</v>
      </c>
      <c r="DE25" s="54">
        <f t="shared" si="66"/>
        <v>0.98546622283765251</v>
      </c>
      <c r="DF25" s="54">
        <f t="shared" si="67"/>
        <v>0</v>
      </c>
      <c r="DG25" s="52">
        <v>0</v>
      </c>
      <c r="DI25" s="4" t="s">
        <v>83</v>
      </c>
      <c r="DJ25" s="52">
        <v>0</v>
      </c>
      <c r="DK25" s="52">
        <v>0</v>
      </c>
      <c r="DL25" s="52">
        <v>0</v>
      </c>
      <c r="DM25" s="52">
        <v>0</v>
      </c>
      <c r="DN25" s="52">
        <v>7.7496180087641879E-3</v>
      </c>
      <c r="DO25" s="52">
        <v>8.2683103897799471E-3</v>
      </c>
      <c r="DP25" s="52"/>
      <c r="DQ25" s="52">
        <v>0</v>
      </c>
      <c r="DR25" s="52">
        <v>0</v>
      </c>
      <c r="DS25" s="52"/>
      <c r="DT25" s="52">
        <f t="shared" si="68"/>
        <v>1.6017928398544136E-2</v>
      </c>
      <c r="DU25" s="52">
        <f t="shared" si="69"/>
        <v>1.6017928398544136E-2</v>
      </c>
      <c r="DV25" s="28">
        <v>0</v>
      </c>
      <c r="DW25" s="54">
        <f t="shared" si="70"/>
        <v>1.6017928398544136E-2</v>
      </c>
      <c r="DX25" s="54">
        <f t="shared" si="71"/>
        <v>0</v>
      </c>
      <c r="DY25" s="52">
        <v>0</v>
      </c>
    </row>
    <row r="26" spans="1:129" s="4" customFormat="1">
      <c r="A26" s="24" t="s">
        <v>84</v>
      </c>
      <c r="B26" s="26" t="s">
        <v>85</v>
      </c>
      <c r="C26" s="29" t="s">
        <v>86</v>
      </c>
      <c r="D26" s="84" t="s">
        <v>322</v>
      </c>
      <c r="E26" s="27">
        <v>129452.50675242995</v>
      </c>
      <c r="F26" s="27">
        <v>12756.464966820233</v>
      </c>
      <c r="G26" s="27">
        <v>78431.437373586406</v>
      </c>
      <c r="H26" s="27">
        <v>4598.5236340068368</v>
      </c>
      <c r="I26" s="27">
        <v>5022.060187286811</v>
      </c>
      <c r="J26" s="27">
        <v>25497.359816040767</v>
      </c>
      <c r="K26" s="27">
        <v>22718.896826556476</v>
      </c>
      <c r="L26" s="27">
        <v>63390.343415561321</v>
      </c>
      <c r="M26" s="27">
        <v>21738.483890832824</v>
      </c>
      <c r="N26" s="27">
        <v>363606.07686312159</v>
      </c>
      <c r="O26" s="2">
        <v>363606.07686312159</v>
      </c>
      <c r="P26" s="2">
        <v>315.30215012141736</v>
      </c>
      <c r="Q26" s="2">
        <v>83169.786531991034</v>
      </c>
      <c r="R26" s="2" t="s">
        <v>87</v>
      </c>
      <c r="S26" s="27">
        <v>65270.530225407158</v>
      </c>
      <c r="T26" s="27">
        <v>6520.3425237919519</v>
      </c>
      <c r="U26" s="27">
        <v>72029.055547958516</v>
      </c>
      <c r="V26" s="27">
        <v>4215.6292524219616</v>
      </c>
      <c r="W26" s="27">
        <v>63341.886984935489</v>
      </c>
      <c r="X26" s="27">
        <v>23374.331514824156</v>
      </c>
      <c r="Y26" s="27">
        <v>17834.334008846836</v>
      </c>
      <c r="Z26" s="27">
        <v>47781.598253889009</v>
      </c>
      <c r="AA26" s="27">
        <v>14586.508880894293</v>
      </c>
      <c r="AB26" s="27">
        <v>0</v>
      </c>
      <c r="AC26" s="27">
        <f t="shared" si="57"/>
        <v>314954.2171929694</v>
      </c>
      <c r="AD26" s="2">
        <f t="shared" si="58"/>
        <v>314954.2171929694</v>
      </c>
      <c r="AE26" s="2">
        <f>AC26*P26/N26</f>
        <v>273.1135373959508</v>
      </c>
      <c r="AF26" s="2" t="s">
        <v>87</v>
      </c>
      <c r="AG26" s="27">
        <v>0</v>
      </c>
      <c r="AH26" s="27">
        <v>0</v>
      </c>
      <c r="AI26" s="27">
        <v>0</v>
      </c>
      <c r="AJ26" s="27">
        <v>2158.1678986232487</v>
      </c>
      <c r="AK26" s="27">
        <v>106055.33665121775</v>
      </c>
      <c r="AL26" s="27">
        <v>11966.3587347225</v>
      </c>
      <c r="AM26" s="27">
        <v>17319.755237210233</v>
      </c>
      <c r="AN26" s="27">
        <v>64594.003455230988</v>
      </c>
      <c r="AO26" s="27">
        <v>8154.3674603830978</v>
      </c>
      <c r="AP26" s="27">
        <v>64382.069616730434</v>
      </c>
      <c r="AQ26" s="27">
        <v>0</v>
      </c>
      <c r="AR26" s="27">
        <f t="shared" si="59"/>
        <v>274630.05905411823</v>
      </c>
      <c r="AS26" s="2">
        <f t="shared" si="73"/>
        <v>274630.05905411823</v>
      </c>
      <c r="AT26" s="2"/>
      <c r="AU26" s="2"/>
      <c r="AV26" s="2"/>
      <c r="AW26" s="2"/>
      <c r="AX26" s="2" t="s">
        <v>87</v>
      </c>
      <c r="AY26" s="27">
        <v>0</v>
      </c>
      <c r="AZ26" s="27">
        <v>0</v>
      </c>
      <c r="BA26" s="27">
        <v>0</v>
      </c>
      <c r="BB26" s="27">
        <v>0</v>
      </c>
      <c r="BC26" s="27">
        <v>14231.507636600712</v>
      </c>
      <c r="BD26" s="27">
        <v>1573.7345022133577</v>
      </c>
      <c r="BE26" s="27">
        <v>16805.176465573637</v>
      </c>
      <c r="BF26" s="27">
        <v>83347.864244804528</v>
      </c>
      <c r="BG26" s="27">
        <v>2737.792531087739</v>
      </c>
      <c r="BH26" s="27">
        <v>118539.31604110554</v>
      </c>
      <c r="BI26" s="27">
        <v>0</v>
      </c>
      <c r="BJ26" s="27">
        <f t="shared" si="72"/>
        <v>237235.39142138552</v>
      </c>
      <c r="BK26" s="2">
        <f t="shared" si="74"/>
        <v>237235.39142138552</v>
      </c>
      <c r="BL26" s="2"/>
      <c r="BM26" s="2"/>
      <c r="BN26" s="2"/>
      <c r="BO26" s="2"/>
      <c r="BP26" s="4" t="s">
        <v>87</v>
      </c>
      <c r="BQ26" s="52">
        <v>13.405406456604853</v>
      </c>
      <c r="BR26" s="52">
        <v>1.2921800107212289</v>
      </c>
      <c r="BS26" s="52">
        <v>7.0269664281370341</v>
      </c>
      <c r="BT26" s="52">
        <v>0.31967843379340094</v>
      </c>
      <c r="BU26" s="52">
        <v>0.2973355621708812</v>
      </c>
      <c r="BV26" s="52">
        <v>1.517413806820916</v>
      </c>
      <c r="BW26" s="52">
        <v>0</v>
      </c>
      <c r="BX26" s="52">
        <v>9.7314739309477325</v>
      </c>
      <c r="BY26" s="52">
        <v>1.2931585478370839</v>
      </c>
      <c r="BZ26" s="52">
        <f t="shared" si="60"/>
        <v>34.883613177033126</v>
      </c>
      <c r="CA26" s="52">
        <f t="shared" si="61"/>
        <v>25.152139246085394</v>
      </c>
      <c r="CB26" s="52">
        <v>3.1862994084648863E-2</v>
      </c>
      <c r="CC26" s="4" t="s">
        <v>87</v>
      </c>
      <c r="CD26" s="52">
        <v>6.7590656161107603</v>
      </c>
      <c r="CE26" s="52">
        <v>0.66048519666022787</v>
      </c>
      <c r="CF26" s="52">
        <v>6.4533530448388587</v>
      </c>
      <c r="CG26" s="52">
        <v>0.29306052640500463</v>
      </c>
      <c r="CH26" s="52">
        <v>3.7502130347436662</v>
      </c>
      <c r="CI26" s="52">
        <v>1.3910669034638499</v>
      </c>
      <c r="CJ26" s="52"/>
      <c r="CK26" s="52">
        <v>1.9061708960972721</v>
      </c>
      <c r="CL26" s="52">
        <v>0.6190538392884275</v>
      </c>
      <c r="CM26" s="52"/>
      <c r="CN26" s="52">
        <f t="shared" si="62"/>
        <v>21.832469057608066</v>
      </c>
      <c r="CO26" s="52">
        <f t="shared" si="63"/>
        <v>19.926298161510793</v>
      </c>
      <c r="CP26" s="52">
        <v>2.7599605721475847E-2</v>
      </c>
      <c r="CQ26" s="4" t="s">
        <v>87</v>
      </c>
      <c r="CR26" s="52">
        <v>0</v>
      </c>
      <c r="CS26" s="52">
        <v>0</v>
      </c>
      <c r="CT26" s="52">
        <v>0</v>
      </c>
      <c r="CU26" s="52">
        <v>0.15003070302672925</v>
      </c>
      <c r="CV26" s="52">
        <v>6.2791010000715017</v>
      </c>
      <c r="CW26" s="52">
        <v>0.71214894767326342</v>
      </c>
      <c r="CX26" s="52"/>
      <c r="CY26" s="52">
        <v>0.24108314136653916</v>
      </c>
      <c r="CZ26" s="52">
        <v>0.21232456869163424</v>
      </c>
      <c r="DA26" s="52"/>
      <c r="DB26" s="52">
        <f t="shared" si="64"/>
        <v>7.594688360829668</v>
      </c>
      <c r="DC26" s="52">
        <f t="shared" si="65"/>
        <v>7.3536052194631285</v>
      </c>
      <c r="DD26" s="28">
        <v>0.7</v>
      </c>
      <c r="DE26" s="54">
        <f t="shared" si="66"/>
        <v>2.206081565838939</v>
      </c>
      <c r="DF26" s="54">
        <f t="shared" si="67"/>
        <v>5.14752365362419</v>
      </c>
      <c r="DG26" s="52">
        <v>0</v>
      </c>
      <c r="DI26" s="4" t="s">
        <v>87</v>
      </c>
      <c r="DJ26" s="52">
        <v>0</v>
      </c>
      <c r="DK26" s="52">
        <v>0</v>
      </c>
      <c r="DL26" s="52">
        <v>0</v>
      </c>
      <c r="DM26" s="52">
        <v>0</v>
      </c>
      <c r="DN26" s="52">
        <v>0.84258912993114987</v>
      </c>
      <c r="DO26" s="52">
        <v>9.3657009163225599E-2</v>
      </c>
      <c r="DP26" s="52"/>
      <c r="DQ26" s="52">
        <v>0</v>
      </c>
      <c r="DR26" s="52">
        <v>0</v>
      </c>
      <c r="DS26" s="52"/>
      <c r="DT26" s="52">
        <f t="shared" si="68"/>
        <v>0.93624613909437548</v>
      </c>
      <c r="DU26" s="52">
        <f t="shared" si="69"/>
        <v>0.93624613909437548</v>
      </c>
      <c r="DV26" s="28">
        <v>0.95</v>
      </c>
      <c r="DW26" s="54">
        <f t="shared" si="70"/>
        <v>4.6812306954718816E-2</v>
      </c>
      <c r="DX26" s="54">
        <f t="shared" si="71"/>
        <v>0.88943383213965665</v>
      </c>
      <c r="DY26" s="52">
        <v>0</v>
      </c>
    </row>
    <row r="27" spans="1:129" s="4" customFormat="1">
      <c r="A27" s="24" t="s">
        <v>88</v>
      </c>
      <c r="B27" s="26" t="s">
        <v>89</v>
      </c>
      <c r="C27" s="29" t="s">
        <v>90</v>
      </c>
      <c r="D27" s="26" t="s">
        <v>323</v>
      </c>
      <c r="E27" s="27">
        <v>284349.72907766467</v>
      </c>
      <c r="F27" s="27">
        <v>857720.49954791204</v>
      </c>
      <c r="G27" s="27">
        <v>40900.16636078195</v>
      </c>
      <c r="H27" s="27">
        <v>13643.441269087745</v>
      </c>
      <c r="I27" s="27">
        <v>20509.401813866476</v>
      </c>
      <c r="J27" s="27">
        <v>82038.000905331603</v>
      </c>
      <c r="K27" s="27">
        <v>1546.2778799999269</v>
      </c>
      <c r="L27" s="27">
        <v>250221.20384352928</v>
      </c>
      <c r="M27" s="27">
        <v>98521.676293464712</v>
      </c>
      <c r="N27" s="27">
        <v>1649450.3969916387</v>
      </c>
      <c r="O27" s="2">
        <v>1649450.3969916385</v>
      </c>
      <c r="P27" s="2">
        <v>116.30667748153542</v>
      </c>
      <c r="Q27" s="2">
        <v>54543.72082735123</v>
      </c>
      <c r="R27" s="2" t="s">
        <v>91</v>
      </c>
      <c r="S27" s="27">
        <v>126040.8973399516</v>
      </c>
      <c r="T27" s="27">
        <v>380244.80245185341</v>
      </c>
      <c r="U27" s="27">
        <v>32962.660285211277</v>
      </c>
      <c r="V27" s="27">
        <v>10995.624590622365</v>
      </c>
      <c r="W27" s="27">
        <v>430762.84542155295</v>
      </c>
      <c r="X27" s="27">
        <v>66116.681439013453</v>
      </c>
      <c r="Y27" s="27">
        <v>1213.8281357999426</v>
      </c>
      <c r="Z27" s="27">
        <v>195056.55380355526</v>
      </c>
      <c r="AA27" s="27">
        <v>70226.639284118108</v>
      </c>
      <c r="AB27" s="27">
        <v>0</v>
      </c>
      <c r="AC27" s="27">
        <f t="shared" si="57"/>
        <v>1313620.5327516785</v>
      </c>
      <c r="AD27" s="2">
        <f t="shared" si="58"/>
        <v>1313620.5327516785</v>
      </c>
      <c r="AE27" s="2">
        <f t="shared" ref="AE27:AE38" si="75">AC27*P27/N27</f>
        <v>92.626513603880568</v>
      </c>
      <c r="AF27" s="2" t="s">
        <v>91</v>
      </c>
      <c r="AG27" s="27">
        <v>0</v>
      </c>
      <c r="AH27" s="27">
        <v>0</v>
      </c>
      <c r="AI27" s="27">
        <v>0</v>
      </c>
      <c r="AJ27" s="27">
        <v>5125.4027904801833</v>
      </c>
      <c r="AK27" s="27">
        <v>452152.40830425703</v>
      </c>
      <c r="AL27" s="27">
        <v>30819.042679377995</v>
      </c>
      <c r="AM27" s="27">
        <v>1178.8052304989631</v>
      </c>
      <c r="AN27" s="27">
        <v>246083.94225830989</v>
      </c>
      <c r="AO27" s="27">
        <v>46385.480764456457</v>
      </c>
      <c r="AP27" s="27">
        <v>219240.2122232705</v>
      </c>
      <c r="AQ27" s="27">
        <v>0</v>
      </c>
      <c r="AR27" s="27">
        <f t="shared" si="59"/>
        <v>1000985.294250651</v>
      </c>
      <c r="AS27" s="2">
        <f t="shared" si="73"/>
        <v>1000985.294250651</v>
      </c>
      <c r="AT27" s="2"/>
      <c r="AU27" s="2"/>
      <c r="AV27" s="2"/>
      <c r="AW27" s="2"/>
      <c r="AX27" s="2" t="s">
        <v>91</v>
      </c>
      <c r="AY27" s="27">
        <v>0</v>
      </c>
      <c r="AZ27" s="27">
        <v>0</v>
      </c>
      <c r="BA27" s="27">
        <v>0</v>
      </c>
      <c r="BB27" s="27">
        <v>0</v>
      </c>
      <c r="BC27" s="27">
        <v>0</v>
      </c>
      <c r="BD27" s="27">
        <v>0</v>
      </c>
      <c r="BE27" s="27">
        <v>1143.7823251979839</v>
      </c>
      <c r="BF27" s="27">
        <v>279306.8262085598</v>
      </c>
      <c r="BG27" s="27">
        <v>25174.162569590528</v>
      </c>
      <c r="BH27" s="27">
        <v>476852.21116062207</v>
      </c>
      <c r="BI27" s="27">
        <v>0</v>
      </c>
      <c r="BJ27" s="27">
        <f t="shared" si="72"/>
        <v>782476.98226397042</v>
      </c>
      <c r="BK27" s="2">
        <f t="shared" si="74"/>
        <v>782476.98226397042</v>
      </c>
      <c r="BL27" s="2"/>
      <c r="BM27" s="2"/>
      <c r="BN27" s="2"/>
      <c r="BO27" s="2"/>
      <c r="BP27" s="4" t="s">
        <v>91</v>
      </c>
      <c r="BQ27" s="52">
        <v>27.925218985381861</v>
      </c>
      <c r="BR27" s="52">
        <v>91.175034012068537</v>
      </c>
      <c r="BS27" s="52">
        <v>3.5790844014780134</v>
      </c>
      <c r="BT27" s="52">
        <v>0.87934390552549158</v>
      </c>
      <c r="BU27" s="52">
        <v>1.1254972597880954</v>
      </c>
      <c r="BV27" s="52">
        <v>4.5267158582909373</v>
      </c>
      <c r="BW27" s="52">
        <v>0</v>
      </c>
      <c r="BX27" s="52">
        <v>34.6290788307182</v>
      </c>
      <c r="BY27" s="52">
        <v>10.554447305343839</v>
      </c>
      <c r="BZ27" s="52">
        <f t="shared" si="60"/>
        <v>174.39442055859496</v>
      </c>
      <c r="CA27" s="52">
        <f t="shared" si="61"/>
        <v>139.76534172787677</v>
      </c>
      <c r="CB27" s="52">
        <v>4.6573050132023147E-3</v>
      </c>
      <c r="CC27" s="4" t="s">
        <v>91</v>
      </c>
      <c r="CD27" s="52">
        <v>12.378136145052697</v>
      </c>
      <c r="CE27" s="52">
        <v>40.419732086073836</v>
      </c>
      <c r="CF27" s="52">
        <v>2.8844905474795963</v>
      </c>
      <c r="CG27" s="52">
        <v>0.70868744039798315</v>
      </c>
      <c r="CH27" s="52">
        <v>23.639031822600046</v>
      </c>
      <c r="CI27" s="52">
        <v>3.6482048205065594</v>
      </c>
      <c r="CJ27" s="52"/>
      <c r="CK27" s="52">
        <v>7.7814711006052733</v>
      </c>
      <c r="CL27" s="52">
        <v>2.696698768943286</v>
      </c>
      <c r="CM27" s="52"/>
      <c r="CN27" s="52">
        <f t="shared" si="62"/>
        <v>94.156452731659286</v>
      </c>
      <c r="CO27" s="52">
        <f t="shared" si="63"/>
        <v>86.374981631054013</v>
      </c>
      <c r="CP27" s="52">
        <v>3.7090727334317657E-3</v>
      </c>
      <c r="CQ27" s="4" t="s">
        <v>91</v>
      </c>
      <c r="CR27" s="52">
        <v>0</v>
      </c>
      <c r="CS27" s="52">
        <v>0</v>
      </c>
      <c r="CT27" s="52">
        <v>0</v>
      </c>
      <c r="CU27" s="52">
        <v>0.33034126935289343</v>
      </c>
      <c r="CV27" s="52">
        <v>24.812829802230645</v>
      </c>
      <c r="CW27" s="52">
        <v>1.7005417939800014</v>
      </c>
      <c r="CX27" s="52"/>
      <c r="CY27" s="52">
        <v>0.91845506805618127</v>
      </c>
      <c r="CZ27" s="52">
        <v>1.5003844637302266</v>
      </c>
      <c r="DA27" s="52"/>
      <c r="DB27" s="52">
        <f t="shared" si="64"/>
        <v>29.26255239734995</v>
      </c>
      <c r="DC27" s="52">
        <f t="shared" si="65"/>
        <v>28.344097329293767</v>
      </c>
      <c r="DD27" s="28">
        <v>0.7</v>
      </c>
      <c r="DE27" s="54">
        <f t="shared" si="66"/>
        <v>8.5032291987881319</v>
      </c>
      <c r="DF27" s="54">
        <f t="shared" si="67"/>
        <v>19.840868130505637</v>
      </c>
      <c r="DG27" s="52">
        <v>0</v>
      </c>
      <c r="DI27" s="4" t="s">
        <v>91</v>
      </c>
      <c r="DJ27" s="52">
        <v>0</v>
      </c>
      <c r="DK27" s="52">
        <v>0</v>
      </c>
      <c r="DL27" s="52">
        <v>0</v>
      </c>
      <c r="DM27" s="52">
        <v>0</v>
      </c>
      <c r="DN27" s="52">
        <v>0</v>
      </c>
      <c r="DO27" s="52">
        <v>0</v>
      </c>
      <c r="DP27" s="52"/>
      <c r="DQ27" s="52">
        <v>0</v>
      </c>
      <c r="DR27" s="52">
        <v>0</v>
      </c>
      <c r="DS27" s="52"/>
      <c r="DT27" s="52">
        <f t="shared" si="68"/>
        <v>0</v>
      </c>
      <c r="DU27" s="52">
        <f t="shared" si="69"/>
        <v>0</v>
      </c>
      <c r="DV27" s="28">
        <v>0.95</v>
      </c>
      <c r="DW27" s="54">
        <f t="shared" si="70"/>
        <v>0</v>
      </c>
      <c r="DX27" s="54">
        <f t="shared" si="71"/>
        <v>0</v>
      </c>
      <c r="DY27" s="52">
        <v>0</v>
      </c>
    </row>
    <row r="28" spans="1:129" s="4" customFormat="1">
      <c r="A28" s="24" t="s">
        <v>92</v>
      </c>
      <c r="B28" s="26" t="s">
        <v>93</v>
      </c>
      <c r="C28" s="26" t="s">
        <v>94</v>
      </c>
      <c r="D28" s="26" t="s">
        <v>324</v>
      </c>
      <c r="E28" s="27">
        <v>1799.2018876595096</v>
      </c>
      <c r="F28" s="27">
        <v>6640.4700333894871</v>
      </c>
      <c r="G28" s="27">
        <v>13538.162939176</v>
      </c>
      <c r="H28" s="27">
        <v>2354.7640402207389</v>
      </c>
      <c r="I28" s="27">
        <v>1372.7727771120121</v>
      </c>
      <c r="J28" s="27">
        <v>15748.558267529868</v>
      </c>
      <c r="K28" s="27">
        <v>1401.6292800000138</v>
      </c>
      <c r="L28" s="27">
        <v>43922.478098498214</v>
      </c>
      <c r="M28" s="27">
        <v>10933.703806795254</v>
      </c>
      <c r="N28" s="27">
        <v>97711.741130381095</v>
      </c>
      <c r="O28" s="2">
        <v>97711.74113038108</v>
      </c>
      <c r="P28" s="2">
        <v>0</v>
      </c>
      <c r="Q28" s="2">
        <v>15892.92697939674</v>
      </c>
      <c r="R28" s="2" t="s">
        <v>95</v>
      </c>
      <c r="S28" s="27">
        <v>885.08970839802737</v>
      </c>
      <c r="T28" s="27">
        <v>3266.6771449001571</v>
      </c>
      <c r="U28" s="27">
        <v>12108.892958965042</v>
      </c>
      <c r="V28" s="27">
        <v>2106.1635788221993</v>
      </c>
      <c r="W28" s="27">
        <v>4624.7446312819784</v>
      </c>
      <c r="X28" s="27">
        <v>14085.929322634518</v>
      </c>
      <c r="Y28" s="27">
        <v>1100.2789848000109</v>
      </c>
      <c r="Z28" s="27">
        <v>36827.363592806476</v>
      </c>
      <c r="AA28" s="27">
        <v>6607.432211553999</v>
      </c>
      <c r="AB28" s="27">
        <v>0</v>
      </c>
      <c r="AC28" s="27">
        <f t="shared" si="57"/>
        <v>81612.572134162401</v>
      </c>
      <c r="AD28" s="2">
        <f t="shared" si="58"/>
        <v>81612.572134162401</v>
      </c>
      <c r="AE28" s="2">
        <f t="shared" si="75"/>
        <v>0</v>
      </c>
      <c r="AF28" s="2" t="s">
        <v>95</v>
      </c>
      <c r="AG28" s="27">
        <v>0</v>
      </c>
      <c r="AH28" s="27">
        <v>0</v>
      </c>
      <c r="AI28" s="27">
        <v>0</v>
      </c>
      <c r="AJ28" s="27">
        <v>1055.6800296503834</v>
      </c>
      <c r="AK28" s="27">
        <v>10468.467218748423</v>
      </c>
      <c r="AL28" s="27">
        <v>7060.341577688705</v>
      </c>
      <c r="AM28" s="27">
        <v>1068.5323432839834</v>
      </c>
      <c r="AN28" s="27">
        <v>38660.735376282813</v>
      </c>
      <c r="AO28" s="27">
        <v>6152.7096727409989</v>
      </c>
      <c r="AP28" s="27">
        <v>6195.5147285794783</v>
      </c>
      <c r="AQ28" s="27">
        <v>6195.5147285794783</v>
      </c>
      <c r="AR28" s="27">
        <f t="shared" si="59"/>
        <v>76857.495675554266</v>
      </c>
      <c r="AS28" s="2">
        <f t="shared" si="73"/>
        <v>76857.495675554266</v>
      </c>
      <c r="AT28" s="2"/>
      <c r="AU28" s="2"/>
      <c r="AV28" s="2"/>
      <c r="AW28" s="2"/>
      <c r="AX28" s="2" t="s">
        <v>95</v>
      </c>
      <c r="AY28" s="27">
        <v>0</v>
      </c>
      <c r="AZ28" s="27">
        <v>0</v>
      </c>
      <c r="BA28" s="27">
        <v>0</v>
      </c>
      <c r="BB28" s="27">
        <v>0</v>
      </c>
      <c r="BC28" s="27">
        <v>1608.2275764674425</v>
      </c>
      <c r="BD28" s="27">
        <v>985.29077941938522</v>
      </c>
      <c r="BE28" s="27">
        <v>1036.7857017679564</v>
      </c>
      <c r="BF28" s="27">
        <v>39908.106856473489</v>
      </c>
      <c r="BG28" s="27">
        <v>3767.0659049299534</v>
      </c>
      <c r="BH28" s="27">
        <v>11672.398418228089</v>
      </c>
      <c r="BI28" s="27">
        <v>11672.398418228089</v>
      </c>
      <c r="BJ28" s="27">
        <f t="shared" si="72"/>
        <v>70650.273655514407</v>
      </c>
      <c r="BK28" s="2">
        <f t="shared" si="74"/>
        <v>70650.273655514407</v>
      </c>
      <c r="BL28" s="2"/>
      <c r="BM28" s="2"/>
      <c r="BN28" s="2"/>
      <c r="BO28" s="2"/>
      <c r="BP28" s="4" t="s">
        <v>95</v>
      </c>
      <c r="BQ28" s="52">
        <v>0.16199943409021333</v>
      </c>
      <c r="BR28" s="52">
        <v>0.72655300019145364</v>
      </c>
      <c r="BS28" s="52">
        <v>0.98254097899927295</v>
      </c>
      <c r="BT28" s="52">
        <v>0.14226470259672835</v>
      </c>
      <c r="BU28" s="52">
        <v>7.0616097435918054E-2</v>
      </c>
      <c r="BV28" s="52">
        <v>0.81445961322432203</v>
      </c>
      <c r="BW28" s="52">
        <v>0</v>
      </c>
      <c r="BX28" s="52">
        <v>5.4047019788547814</v>
      </c>
      <c r="BY28" s="52">
        <v>0.3051252947625418</v>
      </c>
      <c r="BZ28" s="52">
        <f t="shared" si="60"/>
        <v>8.6082611001552305</v>
      </c>
      <c r="CA28" s="52">
        <f t="shared" si="61"/>
        <v>3.2035591213004491</v>
      </c>
      <c r="CB28" s="52">
        <v>0</v>
      </c>
      <c r="CC28" s="4" t="s">
        <v>95</v>
      </c>
      <c r="CD28" s="52">
        <v>7.9693131083845958E-2</v>
      </c>
      <c r="CE28" s="52">
        <v>0.35741657869851151</v>
      </c>
      <c r="CF28" s="52">
        <v>0.87881078075006946</v>
      </c>
      <c r="CG28" s="52">
        <v>0.12724533330868823</v>
      </c>
      <c r="CH28" s="52">
        <v>0.23789910678874096</v>
      </c>
      <c r="CI28" s="52">
        <v>0.72847433734119671</v>
      </c>
      <c r="CJ28" s="52"/>
      <c r="CK28" s="52">
        <v>1.4691691200364223</v>
      </c>
      <c r="CL28" s="52">
        <v>-5.4495828568634514E-3</v>
      </c>
      <c r="CM28" s="52"/>
      <c r="CN28" s="52">
        <f t="shared" si="62"/>
        <v>3.8732588051506123</v>
      </c>
      <c r="CO28" s="52">
        <f t="shared" si="63"/>
        <v>2.4040896851141897</v>
      </c>
      <c r="CP28" s="52">
        <v>0</v>
      </c>
      <c r="CQ28" s="4" t="s">
        <v>95</v>
      </c>
      <c r="CR28" s="52">
        <v>0</v>
      </c>
      <c r="CS28" s="52">
        <v>0</v>
      </c>
      <c r="CT28" s="52">
        <v>0</v>
      </c>
      <c r="CU28" s="52">
        <v>6.3779641140366036E-2</v>
      </c>
      <c r="CV28" s="52">
        <v>0.53850303083591367</v>
      </c>
      <c r="CW28" s="52">
        <v>0.36513584119328252</v>
      </c>
      <c r="CX28" s="52"/>
      <c r="CY28" s="52">
        <v>0.14429282957379472</v>
      </c>
      <c r="CZ28" s="52">
        <v>-5.1142777727366036E-2</v>
      </c>
      <c r="DA28" s="52"/>
      <c r="DB28" s="52">
        <f t="shared" si="64"/>
        <v>1.0605685650159908</v>
      </c>
      <c r="DC28" s="52">
        <f t="shared" si="65"/>
        <v>0.9162757354421962</v>
      </c>
      <c r="DD28" s="28">
        <v>0</v>
      </c>
      <c r="DE28" s="54">
        <f t="shared" si="66"/>
        <v>0.9162757354421962</v>
      </c>
      <c r="DF28" s="54">
        <f t="shared" si="67"/>
        <v>0</v>
      </c>
      <c r="DG28" s="52">
        <v>0</v>
      </c>
      <c r="DI28" s="4" t="s">
        <v>95</v>
      </c>
      <c r="DJ28" s="52">
        <v>0</v>
      </c>
      <c r="DK28" s="52">
        <v>0</v>
      </c>
      <c r="DL28" s="52">
        <v>0</v>
      </c>
      <c r="DM28" s="52">
        <v>0</v>
      </c>
      <c r="DN28" s="52">
        <v>8.2728006508020036E-2</v>
      </c>
      <c r="DO28" s="52">
        <v>5.0955746772956549E-2</v>
      </c>
      <c r="DP28" s="52"/>
      <c r="DQ28" s="52">
        <v>0</v>
      </c>
      <c r="DR28" s="52">
        <v>0</v>
      </c>
      <c r="DS28" s="52"/>
      <c r="DT28" s="52">
        <f t="shared" si="68"/>
        <v>0.13368375328097659</v>
      </c>
      <c r="DU28" s="52">
        <f t="shared" si="69"/>
        <v>0.13368375328097659</v>
      </c>
      <c r="DV28" s="28">
        <v>0</v>
      </c>
      <c r="DW28" s="54">
        <f t="shared" si="70"/>
        <v>0.13368375328097659</v>
      </c>
      <c r="DX28" s="54">
        <f t="shared" si="71"/>
        <v>0</v>
      </c>
      <c r="DY28" s="52">
        <v>0</v>
      </c>
    </row>
    <row r="29" spans="1:129" s="4" customFormat="1">
      <c r="A29" s="24" t="s">
        <v>96</v>
      </c>
      <c r="B29" s="26" t="s">
        <v>97</v>
      </c>
      <c r="C29" s="25" t="s">
        <v>98</v>
      </c>
      <c r="D29" s="26" t="s">
        <v>325</v>
      </c>
      <c r="E29" s="27">
        <v>0</v>
      </c>
      <c r="F29" s="27">
        <v>14.386266025097484</v>
      </c>
      <c r="G29" s="27">
        <v>5624.3418944905188</v>
      </c>
      <c r="H29" s="27">
        <v>3001.0555114118433</v>
      </c>
      <c r="I29" s="27">
        <v>0</v>
      </c>
      <c r="J29" s="27">
        <v>14066.920382612161</v>
      </c>
      <c r="K29" s="27">
        <v>-1.2278178473934531E-11</v>
      </c>
      <c r="L29" s="27">
        <v>44904.768764235843</v>
      </c>
      <c r="M29" s="27">
        <v>6670.4042368908213</v>
      </c>
      <c r="N29" s="27">
        <v>74281.877055666278</v>
      </c>
      <c r="O29" s="2">
        <v>74281.877055666278</v>
      </c>
      <c r="P29" s="2">
        <v>0</v>
      </c>
      <c r="Q29" s="2">
        <v>8625.3974059023622</v>
      </c>
      <c r="R29" s="2" t="s">
        <v>99</v>
      </c>
      <c r="S29" s="27">
        <v>0</v>
      </c>
      <c r="T29" s="27">
        <v>7.0450044537309404</v>
      </c>
      <c r="U29" s="27">
        <v>5007.7450291025962</v>
      </c>
      <c r="V29" s="27">
        <v>2672.049655099242</v>
      </c>
      <c r="W29" s="27">
        <v>5.7640945530525869</v>
      </c>
      <c r="X29" s="27">
        <v>12524.763242044899</v>
      </c>
      <c r="Y29" s="27">
        <v>-9.6383701020386071E-12</v>
      </c>
      <c r="Z29" s="27">
        <v>36869.427074211861</v>
      </c>
      <c r="AA29" s="27">
        <v>1971.2513737507402</v>
      </c>
      <c r="AB29" s="27">
        <v>0</v>
      </c>
      <c r="AC29" s="27">
        <f t="shared" si="57"/>
        <v>59058.045473216116</v>
      </c>
      <c r="AD29" s="2">
        <f t="shared" si="58"/>
        <v>59058.045473216116</v>
      </c>
      <c r="AE29" s="2">
        <f t="shared" si="75"/>
        <v>0</v>
      </c>
      <c r="AF29" s="2" t="s">
        <v>99</v>
      </c>
      <c r="AG29" s="27">
        <v>0</v>
      </c>
      <c r="AH29" s="27">
        <v>0</v>
      </c>
      <c r="AI29" s="27">
        <v>0</v>
      </c>
      <c r="AJ29" s="27">
        <v>1037.7954531105363</v>
      </c>
      <c r="AK29" s="27">
        <v>1949.9294245165261</v>
      </c>
      <c r="AL29" s="27">
        <v>4864.4838313820246</v>
      </c>
      <c r="AM29" s="27">
        <v>-9.3602716518679602E-12</v>
      </c>
      <c r="AN29" s="27">
        <v>35644.350510073506</v>
      </c>
      <c r="AO29" s="27">
        <v>3500.937783950601</v>
      </c>
      <c r="AP29" s="27">
        <v>2617.7529191532667</v>
      </c>
      <c r="AQ29" s="27">
        <v>2617.7529191532667</v>
      </c>
      <c r="AR29" s="27">
        <f t="shared" si="59"/>
        <v>52233.002841339716</v>
      </c>
      <c r="AS29" s="2">
        <f t="shared" si="73"/>
        <v>52233.002841339716</v>
      </c>
      <c r="AT29" s="2"/>
      <c r="AU29" s="2"/>
      <c r="AV29" s="2"/>
      <c r="AW29" s="2"/>
      <c r="AX29" s="2" t="s">
        <v>99</v>
      </c>
      <c r="AY29" s="27">
        <v>0</v>
      </c>
      <c r="AZ29" s="27">
        <v>0</v>
      </c>
      <c r="BA29" s="27">
        <v>0</v>
      </c>
      <c r="BB29" s="27">
        <v>0</v>
      </c>
      <c r="BC29" s="27">
        <v>322.93316396859831</v>
      </c>
      <c r="BD29" s="27">
        <v>525.78574637365659</v>
      </c>
      <c r="BE29" s="27">
        <v>-9.0821732016973149E-12</v>
      </c>
      <c r="BF29" s="27">
        <v>33711.484433487312</v>
      </c>
      <c r="BG29" s="27">
        <v>2003.6773212081528</v>
      </c>
      <c r="BH29" s="27">
        <v>3819.9828682609077</v>
      </c>
      <c r="BI29" s="27">
        <v>3819.9828682609077</v>
      </c>
      <c r="BJ29" s="27">
        <f t="shared" si="72"/>
        <v>44203.846401559524</v>
      </c>
      <c r="BK29" s="2">
        <f t="shared" si="74"/>
        <v>44203.846401559524</v>
      </c>
      <c r="BL29" s="2"/>
      <c r="BM29" s="2"/>
      <c r="BN29" s="2"/>
      <c r="BO29" s="2"/>
      <c r="BP29" s="4" t="s">
        <v>99</v>
      </c>
      <c r="BQ29" s="52">
        <v>0</v>
      </c>
      <c r="BR29" s="52">
        <v>1.7879938232950967E-3</v>
      </c>
      <c r="BS29" s="52">
        <v>0.43783396821220139</v>
      </c>
      <c r="BT29" s="52">
        <v>0.20241442526692652</v>
      </c>
      <c r="BU29" s="52">
        <v>0</v>
      </c>
      <c r="BV29" s="52">
        <v>0.81209234767502159</v>
      </c>
      <c r="BW29" s="52">
        <v>0</v>
      </c>
      <c r="BX29" s="52">
        <v>6.161380231472422</v>
      </c>
      <c r="BY29" s="52">
        <v>0.46497815269614495</v>
      </c>
      <c r="BZ29" s="52">
        <f t="shared" si="60"/>
        <v>8.0804871191460101</v>
      </c>
      <c r="CA29" s="52">
        <f t="shared" si="61"/>
        <v>1.9191068876735882</v>
      </c>
      <c r="CB29" s="52">
        <v>0</v>
      </c>
      <c r="CC29" s="4" t="s">
        <v>99</v>
      </c>
      <c r="CD29" s="52">
        <v>0</v>
      </c>
      <c r="CE29" s="52">
        <v>8.7558678717481961E-4</v>
      </c>
      <c r="CF29" s="52">
        <v>0.38983420976500377</v>
      </c>
      <c r="CG29" s="52">
        <v>0.18022372234199516</v>
      </c>
      <c r="CH29" s="52">
        <v>3.3108220192183072E-4</v>
      </c>
      <c r="CI29" s="52">
        <v>0.72306262555367506</v>
      </c>
      <c r="CJ29" s="52"/>
      <c r="CK29" s="52">
        <v>1.4708471757518766</v>
      </c>
      <c r="CL29" s="52">
        <v>0.10582760739803414</v>
      </c>
      <c r="CM29" s="52"/>
      <c r="CN29" s="52">
        <f t="shared" si="62"/>
        <v>2.8710020097996813</v>
      </c>
      <c r="CO29" s="52">
        <f t="shared" si="63"/>
        <v>1.4001548340478047</v>
      </c>
      <c r="CP29" s="52">
        <v>0</v>
      </c>
      <c r="CQ29" s="4" t="s">
        <v>99</v>
      </c>
      <c r="CR29" s="52">
        <v>0</v>
      </c>
      <c r="CS29" s="52">
        <v>0</v>
      </c>
      <c r="CT29" s="52">
        <v>0</v>
      </c>
      <c r="CU29" s="52">
        <v>6.9996962531084284E-2</v>
      </c>
      <c r="CV29" s="52">
        <v>0.11200144645774514</v>
      </c>
      <c r="CW29" s="52">
        <v>0.28082977563001177</v>
      </c>
      <c r="CX29" s="52"/>
      <c r="CY29" s="52">
        <v>0.1330348257310659</v>
      </c>
      <c r="CZ29" s="52">
        <v>0.22386417461143135</v>
      </c>
      <c r="DA29" s="52"/>
      <c r="DB29" s="52">
        <f t="shared" si="64"/>
        <v>0.81972718496133845</v>
      </c>
      <c r="DC29" s="52">
        <f t="shared" si="65"/>
        <v>0.6866923592302725</v>
      </c>
      <c r="DD29" s="28">
        <v>0</v>
      </c>
      <c r="DE29" s="54">
        <f t="shared" si="66"/>
        <v>0.6866923592302725</v>
      </c>
      <c r="DF29" s="54">
        <f t="shared" si="67"/>
        <v>0</v>
      </c>
      <c r="DG29" s="52">
        <v>0</v>
      </c>
      <c r="DI29" s="4" t="s">
        <v>99</v>
      </c>
      <c r="DJ29" s="52">
        <v>0</v>
      </c>
      <c r="DK29" s="52">
        <v>0</v>
      </c>
      <c r="DL29" s="52">
        <v>0</v>
      </c>
      <c r="DM29" s="52">
        <v>0</v>
      </c>
      <c r="DN29" s="52">
        <v>1.8548866958416756E-2</v>
      </c>
      <c r="DO29" s="52">
        <v>3.0353948805627407E-2</v>
      </c>
      <c r="DP29" s="52"/>
      <c r="DQ29" s="52">
        <v>0</v>
      </c>
      <c r="DR29" s="52">
        <v>0</v>
      </c>
      <c r="DS29" s="52"/>
      <c r="DT29" s="52">
        <f t="shared" si="68"/>
        <v>4.8902815764044164E-2</v>
      </c>
      <c r="DU29" s="52">
        <f t="shared" si="69"/>
        <v>4.8902815764044164E-2</v>
      </c>
      <c r="DV29" s="28">
        <v>0</v>
      </c>
      <c r="DW29" s="54">
        <f t="shared" si="70"/>
        <v>4.8902815764044164E-2</v>
      </c>
      <c r="DX29" s="54">
        <f t="shared" si="71"/>
        <v>0</v>
      </c>
      <c r="DY29" s="52">
        <v>0</v>
      </c>
    </row>
    <row r="30" spans="1:129" s="4" customFormat="1">
      <c r="A30" s="24" t="s">
        <v>100</v>
      </c>
      <c r="B30" s="26" t="s">
        <v>101</v>
      </c>
      <c r="C30" s="26" t="s">
        <v>102</v>
      </c>
      <c r="D30" s="26" t="s">
        <v>326</v>
      </c>
      <c r="E30" s="27">
        <v>4.1799866632141978</v>
      </c>
      <c r="F30" s="27">
        <v>16.963225688285497</v>
      </c>
      <c r="G30" s="27">
        <v>1585.5697279739829</v>
      </c>
      <c r="H30" s="27">
        <v>584.80836572694204</v>
      </c>
      <c r="I30" s="27">
        <v>0</v>
      </c>
      <c r="J30" s="27">
        <v>2956.23771191376</v>
      </c>
      <c r="K30" s="27">
        <v>9.0949470177292824E-13</v>
      </c>
      <c r="L30" s="27">
        <v>17301.758081518641</v>
      </c>
      <c r="M30" s="27">
        <v>1376.9872478348636</v>
      </c>
      <c r="N30" s="27">
        <v>23826.504347319689</v>
      </c>
      <c r="O30" s="2">
        <v>23826.504347319689</v>
      </c>
      <c r="P30" s="2">
        <v>0</v>
      </c>
      <c r="Q30" s="2">
        <v>2170.3780937009251</v>
      </c>
      <c r="R30" s="2" t="s">
        <v>103</v>
      </c>
      <c r="S30" s="27">
        <v>2.6886080912976684</v>
      </c>
      <c r="T30" s="27">
        <v>10.910911807781467</v>
      </c>
      <c r="U30" s="27">
        <v>1854.2797744759398</v>
      </c>
      <c r="V30" s="27">
        <v>683.91714686519981</v>
      </c>
      <c r="W30" s="27">
        <v>11.126879917428383</v>
      </c>
      <c r="X30" s="27">
        <v>3457.2379259215168</v>
      </c>
      <c r="Y30" s="27">
        <v>7.139533408917487E-13</v>
      </c>
      <c r="Z30" s="27">
        <v>19994.953962429099</v>
      </c>
      <c r="AA30" s="27">
        <v>348.7563670624167</v>
      </c>
      <c r="AB30" s="27">
        <v>0</v>
      </c>
      <c r="AC30" s="27">
        <f t="shared" si="57"/>
        <v>26363.87157657068</v>
      </c>
      <c r="AD30" s="2">
        <f t="shared" si="58"/>
        <v>26363.87157657068</v>
      </c>
      <c r="AE30" s="2">
        <f t="shared" si="75"/>
        <v>0</v>
      </c>
      <c r="AF30" s="2" t="s">
        <v>103</v>
      </c>
      <c r="AG30" s="27">
        <v>0</v>
      </c>
      <c r="AH30" s="27">
        <v>0</v>
      </c>
      <c r="AI30" s="27">
        <v>0</v>
      </c>
      <c r="AJ30" s="27">
        <v>255.19006702202961</v>
      </c>
      <c r="AK30" s="27">
        <v>701.11374418721448</v>
      </c>
      <c r="AL30" s="27">
        <v>1289.9995007741879</v>
      </c>
      <c r="AM30" s="27">
        <v>6.9335345569392303E-13</v>
      </c>
      <c r="AN30" s="27">
        <v>20410.768668859047</v>
      </c>
      <c r="AO30" s="27">
        <v>843.70096438587711</v>
      </c>
      <c r="AP30" s="27">
        <v>748.76777066114391</v>
      </c>
      <c r="AQ30" s="27">
        <v>748.76777066114391</v>
      </c>
      <c r="AR30" s="27">
        <f t="shared" si="59"/>
        <v>24998.308486550643</v>
      </c>
      <c r="AS30" s="2">
        <f t="shared" si="73"/>
        <v>24998.308486550643</v>
      </c>
      <c r="AT30" s="2"/>
      <c r="AU30" s="2"/>
      <c r="AV30" s="2"/>
      <c r="AW30" s="2"/>
      <c r="AX30" s="2" t="s">
        <v>103</v>
      </c>
      <c r="AY30" s="27">
        <v>0</v>
      </c>
      <c r="AZ30" s="27">
        <v>0</v>
      </c>
      <c r="BA30" s="27">
        <v>0</v>
      </c>
      <c r="BB30" s="27">
        <v>0</v>
      </c>
      <c r="BC30" s="27">
        <v>90.861731446793954</v>
      </c>
      <c r="BD30" s="27">
        <v>122.56731263846865</v>
      </c>
      <c r="BE30" s="27">
        <v>6.7275357049609747E-13</v>
      </c>
      <c r="BF30" s="27">
        <v>20595.220977626996</v>
      </c>
      <c r="BG30" s="27">
        <v>282.93440097577718</v>
      </c>
      <c r="BH30" s="27">
        <v>960.43069838368137</v>
      </c>
      <c r="BI30" s="27">
        <v>960.43069838368137</v>
      </c>
      <c r="BJ30" s="27">
        <f t="shared" si="72"/>
        <v>23012.445819455395</v>
      </c>
      <c r="BK30" s="2">
        <f t="shared" si="74"/>
        <v>23012.445819455395</v>
      </c>
      <c r="BL30" s="2"/>
      <c r="BM30" s="2"/>
      <c r="BN30" s="2"/>
      <c r="BO30" s="2"/>
      <c r="BP30" s="4" t="s">
        <v>103</v>
      </c>
      <c r="BQ30" s="52">
        <v>4.2055180785591315E-4</v>
      </c>
      <c r="BR30" s="52">
        <v>2.103392263987851E-3</v>
      </c>
      <c r="BS30" s="52">
        <v>0.12358979979262967</v>
      </c>
      <c r="BT30" s="52">
        <v>3.9444062933476437E-2</v>
      </c>
      <c r="BU30" s="52">
        <v>0</v>
      </c>
      <c r="BV30" s="52">
        <v>0.17071257558255917</v>
      </c>
      <c r="BW30" s="52">
        <v>0</v>
      </c>
      <c r="BX30" s="52">
        <v>2.3766526132354002</v>
      </c>
      <c r="BY30" s="52">
        <v>8.886274625686881E-2</v>
      </c>
      <c r="BZ30" s="52">
        <f t="shared" si="60"/>
        <v>2.8017857418727781</v>
      </c>
      <c r="CA30" s="52">
        <f t="shared" si="61"/>
        <v>0.42513312863737784</v>
      </c>
      <c r="CB30" s="52">
        <v>0</v>
      </c>
      <c r="CC30" s="4" t="s">
        <v>103</v>
      </c>
      <c r="CD30" s="52">
        <v>2.7050301460574999E-4</v>
      </c>
      <c r="CE30" s="52">
        <v>1.3529223693221301E-3</v>
      </c>
      <c r="CF30" s="52">
        <v>0.14453483946103962</v>
      </c>
      <c r="CG30" s="52">
        <v>4.6128736460022544E-2</v>
      </c>
      <c r="CH30" s="52">
        <v>6.3911371849912442E-4</v>
      </c>
      <c r="CI30" s="52">
        <v>0.19964361741184103</v>
      </c>
      <c r="CJ30" s="52"/>
      <c r="CK30" s="52">
        <v>0.79766689907416488</v>
      </c>
      <c r="CL30" s="52">
        <v>1.7969385483105577E-2</v>
      </c>
      <c r="CM30" s="52"/>
      <c r="CN30" s="52">
        <f t="shared" si="62"/>
        <v>1.2082060169926006</v>
      </c>
      <c r="CO30" s="52">
        <f t="shared" si="63"/>
        <v>0.41053911791843578</v>
      </c>
      <c r="CP30" s="52">
        <v>0</v>
      </c>
      <c r="CQ30" s="4" t="s">
        <v>103</v>
      </c>
      <c r="CR30" s="52">
        <v>0</v>
      </c>
      <c r="CS30" s="52">
        <v>0</v>
      </c>
      <c r="CT30" s="52">
        <v>0</v>
      </c>
      <c r="CU30" s="52">
        <v>1.7212019617918538E-2</v>
      </c>
      <c r="CV30" s="52">
        <v>4.0271074682532951E-2</v>
      </c>
      <c r="CW30" s="52">
        <v>7.4493041066990298E-2</v>
      </c>
      <c r="CX30" s="52"/>
      <c r="CY30" s="52">
        <v>7.6178777675620035E-2</v>
      </c>
      <c r="CZ30" s="52">
        <v>5.1935882203756896E-2</v>
      </c>
      <c r="DA30" s="52"/>
      <c r="DB30" s="52">
        <f t="shared" si="64"/>
        <v>0.26009079524681872</v>
      </c>
      <c r="DC30" s="52">
        <f t="shared" si="65"/>
        <v>0.18391201757119868</v>
      </c>
      <c r="DD30" s="28">
        <v>0</v>
      </c>
      <c r="DE30" s="54">
        <f t="shared" si="66"/>
        <v>0.18391201757119868</v>
      </c>
      <c r="DF30" s="54">
        <f t="shared" si="67"/>
        <v>0</v>
      </c>
      <c r="DG30" s="52">
        <v>0</v>
      </c>
      <c r="DI30" s="4" t="s">
        <v>103</v>
      </c>
      <c r="DJ30" s="52">
        <v>0</v>
      </c>
      <c r="DK30" s="52">
        <v>0</v>
      </c>
      <c r="DL30" s="52">
        <v>0</v>
      </c>
      <c r="DM30" s="52">
        <v>0</v>
      </c>
      <c r="DN30" s="52">
        <v>5.2189813752973914E-3</v>
      </c>
      <c r="DO30" s="52">
        <v>7.0778413854955015E-3</v>
      </c>
      <c r="DP30" s="52"/>
      <c r="DQ30" s="52">
        <v>0</v>
      </c>
      <c r="DR30" s="52">
        <v>0</v>
      </c>
      <c r="DS30" s="52"/>
      <c r="DT30" s="52">
        <f t="shared" si="68"/>
        <v>1.2296822760792893E-2</v>
      </c>
      <c r="DU30" s="52">
        <f t="shared" si="69"/>
        <v>1.2296822760792893E-2</v>
      </c>
      <c r="DV30" s="28">
        <v>0</v>
      </c>
      <c r="DW30" s="54">
        <f t="shared" si="70"/>
        <v>1.2296822760792893E-2</v>
      </c>
      <c r="DX30" s="54">
        <f t="shared" si="71"/>
        <v>0</v>
      </c>
      <c r="DY30" s="52">
        <v>0</v>
      </c>
    </row>
    <row r="31" spans="1:129" s="4" customFormat="1">
      <c r="A31" s="24" t="s">
        <v>104</v>
      </c>
      <c r="B31" s="26" t="s">
        <v>105</v>
      </c>
      <c r="C31" s="26" t="s">
        <v>106</v>
      </c>
      <c r="D31" s="26" t="s">
        <v>327</v>
      </c>
      <c r="E31" s="27">
        <v>0.18689980337493234</v>
      </c>
      <c r="F31" s="27">
        <v>12.171288028627313</v>
      </c>
      <c r="G31" s="27">
        <v>3291.2889858790868</v>
      </c>
      <c r="H31" s="27">
        <v>841.11455411783641</v>
      </c>
      <c r="I31" s="27">
        <v>33.852570451369708</v>
      </c>
      <c r="J31" s="27">
        <v>2073.8853804487476</v>
      </c>
      <c r="K31" s="27">
        <v>4.5474735088646412E-12</v>
      </c>
      <c r="L31" s="27">
        <v>30376.860482485947</v>
      </c>
      <c r="M31" s="27">
        <v>1036.5334033290585</v>
      </c>
      <c r="N31" s="27">
        <v>37665.893564544051</v>
      </c>
      <c r="O31" s="2">
        <v>37665.893564544051</v>
      </c>
      <c r="P31" s="2">
        <v>0</v>
      </c>
      <c r="Q31" s="2">
        <v>4132.4035399969234</v>
      </c>
      <c r="R31" s="2" t="s">
        <v>107</v>
      </c>
      <c r="S31" s="27">
        <v>0.10963063314934687</v>
      </c>
      <c r="T31" s="27">
        <v>7.1393655248780501</v>
      </c>
      <c r="U31" s="27">
        <v>3510.1558928055642</v>
      </c>
      <c r="V31" s="27">
        <v>897.04769812932898</v>
      </c>
      <c r="W31" s="27">
        <v>42.034724048652336</v>
      </c>
      <c r="X31" s="27">
        <v>2211.7963571166388</v>
      </c>
      <c r="Y31" s="27">
        <v>3.569766704458744E-12</v>
      </c>
      <c r="Z31" s="27">
        <v>31529.727851797779</v>
      </c>
      <c r="AA31" s="27">
        <v>-198.46981172717736</v>
      </c>
      <c r="AB31" s="27">
        <v>0</v>
      </c>
      <c r="AC31" s="27">
        <f t="shared" si="57"/>
        <v>37999.541708328819</v>
      </c>
      <c r="AD31" s="2">
        <f t="shared" si="58"/>
        <v>37999.541708328819</v>
      </c>
      <c r="AE31" s="2">
        <f t="shared" si="75"/>
        <v>0</v>
      </c>
      <c r="AF31" s="2" t="s">
        <v>107</v>
      </c>
      <c r="AG31" s="27">
        <v>0</v>
      </c>
      <c r="AH31" s="27">
        <v>0</v>
      </c>
      <c r="AI31" s="27">
        <v>0</v>
      </c>
      <c r="AJ31" s="27">
        <v>315.7623929819473</v>
      </c>
      <c r="AK31" s="27">
        <v>1252.9291053567172</v>
      </c>
      <c r="AL31" s="27">
        <v>778.55627071818628</v>
      </c>
      <c r="AM31" s="27">
        <v>3.4667672784696154E-12</v>
      </c>
      <c r="AN31" s="27">
        <v>29995.896530128579</v>
      </c>
      <c r="AO31" s="27">
        <v>546.38277175947337</v>
      </c>
      <c r="AP31" s="27">
        <v>782.41592301895037</v>
      </c>
      <c r="AQ31" s="27">
        <v>782.41592301895037</v>
      </c>
      <c r="AR31" s="27">
        <f t="shared" si="59"/>
        <v>34454.358916982805</v>
      </c>
      <c r="AS31" s="2">
        <f t="shared" si="73"/>
        <v>34454.358916982805</v>
      </c>
      <c r="AT31" s="2"/>
      <c r="AU31" s="2"/>
      <c r="AV31" s="2"/>
      <c r="AW31" s="2"/>
      <c r="AX31" s="2" t="s">
        <v>107</v>
      </c>
      <c r="AY31" s="27">
        <v>0</v>
      </c>
      <c r="AZ31" s="27">
        <v>0</v>
      </c>
      <c r="BA31" s="27">
        <v>0</v>
      </c>
      <c r="BB31" s="27">
        <v>0</v>
      </c>
      <c r="BC31" s="27">
        <v>140.35150557218253</v>
      </c>
      <c r="BD31" s="27">
        <v>69.657765649706192</v>
      </c>
      <c r="BE31" s="27">
        <v>3.3637678524804871E-12</v>
      </c>
      <c r="BF31" s="27">
        <v>28300.503711664889</v>
      </c>
      <c r="BG31" s="27">
        <v>172.53953269953013</v>
      </c>
      <c r="BH31" s="27">
        <v>945.04172049849922</v>
      </c>
      <c r="BI31" s="27">
        <v>945.04172049849922</v>
      </c>
      <c r="BJ31" s="27">
        <f t="shared" si="72"/>
        <v>30573.135956583312</v>
      </c>
      <c r="BK31" s="2">
        <f t="shared" si="74"/>
        <v>30573.135956583312</v>
      </c>
      <c r="BL31" s="2"/>
      <c r="BM31" s="2"/>
      <c r="BN31" s="2"/>
      <c r="BO31" s="2"/>
      <c r="BP31" s="4" t="s">
        <v>107</v>
      </c>
      <c r="BQ31" s="52">
        <v>1.878433052642471E-5</v>
      </c>
      <c r="BR31" s="52">
        <v>1.514035608302457E-3</v>
      </c>
      <c r="BS31" s="52">
        <v>0.2566463016963676</v>
      </c>
      <c r="BT31" s="52">
        <v>5.6730736183381501E-2</v>
      </c>
      <c r="BU31" s="52">
        <v>1.9370635201805429E-3</v>
      </c>
      <c r="BV31" s="52">
        <v>0.11975403404751715</v>
      </c>
      <c r="BW31" s="52">
        <v>0</v>
      </c>
      <c r="BX31" s="52">
        <v>4.181020532817497</v>
      </c>
      <c r="BY31" s="52">
        <v>7.8181959107179386E-2</v>
      </c>
      <c r="BZ31" s="52">
        <f t="shared" si="60"/>
        <v>4.6958034473109516</v>
      </c>
      <c r="CA31" s="52">
        <f t="shared" si="61"/>
        <v>0.51478291449345459</v>
      </c>
      <c r="CB31" s="52">
        <v>0</v>
      </c>
      <c r="CC31" s="4" t="s">
        <v>107</v>
      </c>
      <c r="CD31" s="52">
        <v>1.1018406716926224E-5</v>
      </c>
      <c r="CE31" s="52">
        <v>8.8809447282231513E-4</v>
      </c>
      <c r="CF31" s="52">
        <v>0.27371298361564017</v>
      </c>
      <c r="CG31" s="52">
        <v>6.0503264457073137E-2</v>
      </c>
      <c r="CH31" s="52">
        <v>2.4052510474047539E-3</v>
      </c>
      <c r="CI31" s="52">
        <v>0.12771753866118069</v>
      </c>
      <c r="CJ31" s="52"/>
      <c r="CK31" s="52">
        <v>1.2578283646690867</v>
      </c>
      <c r="CL31" s="52">
        <v>-1.7195634523157879E-2</v>
      </c>
      <c r="CM31" s="52"/>
      <c r="CN31" s="52">
        <f t="shared" si="62"/>
        <v>1.7058708808067669</v>
      </c>
      <c r="CO31" s="52">
        <f t="shared" si="63"/>
        <v>0.44804251613768015</v>
      </c>
      <c r="CP31" s="52">
        <v>0</v>
      </c>
      <c r="CQ31" s="4" t="s">
        <v>107</v>
      </c>
      <c r="CR31" s="52">
        <v>0</v>
      </c>
      <c r="CS31" s="52">
        <v>0</v>
      </c>
      <c r="CT31" s="52">
        <v>0</v>
      </c>
      <c r="CU31" s="52">
        <v>2.1297257222804511E-2</v>
      </c>
      <c r="CV31" s="52">
        <v>7.1693322870279769E-2</v>
      </c>
      <c r="CW31" s="52">
        <v>4.4956801870756909E-2</v>
      </c>
      <c r="CX31" s="52"/>
      <c r="CY31" s="52">
        <v>0.11195319343537986</v>
      </c>
      <c r="CZ31" s="52">
        <v>3.3183586675724401E-2</v>
      </c>
      <c r="DA31" s="52"/>
      <c r="DB31" s="52">
        <f t="shared" si="64"/>
        <v>0.28308416207494547</v>
      </c>
      <c r="DC31" s="52">
        <f t="shared" si="65"/>
        <v>0.17113096863956559</v>
      </c>
      <c r="DD31" s="28">
        <v>0</v>
      </c>
      <c r="DE31" s="54">
        <f t="shared" si="66"/>
        <v>0.17113096863956559</v>
      </c>
      <c r="DF31" s="54">
        <f t="shared" si="67"/>
        <v>0</v>
      </c>
      <c r="DG31" s="52">
        <v>0</v>
      </c>
      <c r="DI31" s="4" t="s">
        <v>107</v>
      </c>
      <c r="DJ31" s="52">
        <v>0</v>
      </c>
      <c r="DK31" s="52">
        <v>0</v>
      </c>
      <c r="DL31" s="52">
        <v>0</v>
      </c>
      <c r="DM31" s="52">
        <v>0</v>
      </c>
      <c r="DN31" s="52">
        <v>8.030993742021467E-3</v>
      </c>
      <c r="DO31" s="52">
        <v>4.0223044715633639E-3</v>
      </c>
      <c r="DP31" s="52"/>
      <c r="DQ31" s="52">
        <v>0</v>
      </c>
      <c r="DR31" s="52">
        <v>0</v>
      </c>
      <c r="DS31" s="52"/>
      <c r="DT31" s="52">
        <f t="shared" si="68"/>
        <v>1.2053298213584831E-2</v>
      </c>
      <c r="DU31" s="52">
        <f t="shared" si="69"/>
        <v>1.2053298213584831E-2</v>
      </c>
      <c r="DV31" s="28">
        <v>0</v>
      </c>
      <c r="DW31" s="54">
        <f t="shared" si="70"/>
        <v>1.2053298213584831E-2</v>
      </c>
      <c r="DX31" s="54">
        <f t="shared" si="71"/>
        <v>0</v>
      </c>
      <c r="DY31" s="52">
        <v>0</v>
      </c>
    </row>
    <row r="32" spans="1:129" s="4" customFormat="1">
      <c r="A32" s="24" t="s">
        <v>108</v>
      </c>
      <c r="B32" s="26" t="s">
        <v>109</v>
      </c>
      <c r="C32" s="26" t="s">
        <v>110</v>
      </c>
      <c r="D32" s="26" t="s">
        <v>328</v>
      </c>
      <c r="E32" s="27">
        <v>0</v>
      </c>
      <c r="F32" s="27">
        <v>0</v>
      </c>
      <c r="G32" s="27">
        <v>647.46501686069962</v>
      </c>
      <c r="H32" s="27">
        <v>199.27418976796875</v>
      </c>
      <c r="I32" s="27">
        <v>0</v>
      </c>
      <c r="J32" s="27">
        <v>1339.3255635356959</v>
      </c>
      <c r="K32" s="27">
        <v>4.8316906031686813E-13</v>
      </c>
      <c r="L32" s="27">
        <v>10431.768179528137</v>
      </c>
      <c r="M32" s="27">
        <v>1981.3346981960997</v>
      </c>
      <c r="N32" s="27">
        <v>14599.167647888602</v>
      </c>
      <c r="O32" s="2">
        <v>14599.167647888602</v>
      </c>
      <c r="P32" s="2">
        <v>0</v>
      </c>
      <c r="Q32" s="2">
        <v>846.7392066286684</v>
      </c>
      <c r="R32" s="2" t="s">
        <v>111</v>
      </c>
      <c r="S32" s="27">
        <v>0</v>
      </c>
      <c r="T32" s="27">
        <v>0</v>
      </c>
      <c r="U32" s="27">
        <v>571.4773680436092</v>
      </c>
      <c r="V32" s="27">
        <v>175.88701554839778</v>
      </c>
      <c r="W32" s="27">
        <v>0</v>
      </c>
      <c r="X32" s="27">
        <v>1182.1399273647178</v>
      </c>
      <c r="Y32" s="27">
        <v>3.792877123487415E-13</v>
      </c>
      <c r="Z32" s="27">
        <v>9144.313025942598</v>
      </c>
      <c r="AA32" s="27">
        <v>1174.5568595516356</v>
      </c>
      <c r="AB32" s="27">
        <v>0</v>
      </c>
      <c r="AC32" s="27">
        <f t="shared" si="57"/>
        <v>12248.374196450959</v>
      </c>
      <c r="AD32" s="2">
        <f t="shared" si="58"/>
        <v>12248.374196450959</v>
      </c>
      <c r="AE32" s="2">
        <f t="shared" si="75"/>
        <v>0</v>
      </c>
      <c r="AF32" s="2" t="s">
        <v>111</v>
      </c>
      <c r="AG32" s="27">
        <v>0</v>
      </c>
      <c r="AH32" s="27">
        <v>0</v>
      </c>
      <c r="AI32" s="27">
        <v>0</v>
      </c>
      <c r="AJ32" s="27">
        <v>62.25281071720331</v>
      </c>
      <c r="AK32" s="27">
        <v>202.26662162105467</v>
      </c>
      <c r="AL32" s="27">
        <v>418.40230735642052</v>
      </c>
      <c r="AM32" s="27">
        <v>3.6834402333739668E-13</v>
      </c>
      <c r="AN32" s="27">
        <v>8856.103674997601</v>
      </c>
      <c r="AO32" s="27">
        <v>869.10889679240449</v>
      </c>
      <c r="AP32" s="27">
        <v>227.64057989822612</v>
      </c>
      <c r="AQ32" s="27">
        <v>227.64057989822612</v>
      </c>
      <c r="AR32" s="27">
        <f t="shared" si="59"/>
        <v>10863.415471281138</v>
      </c>
      <c r="AS32" s="2">
        <f t="shared" si="73"/>
        <v>10863.415471281138</v>
      </c>
      <c r="AT32" s="2"/>
      <c r="AU32" s="2"/>
      <c r="AV32" s="2"/>
      <c r="AW32" s="2"/>
      <c r="AX32" s="2" t="s">
        <v>111</v>
      </c>
      <c r="AY32" s="27">
        <v>0</v>
      </c>
      <c r="AZ32" s="27">
        <v>0</v>
      </c>
      <c r="BA32" s="27">
        <v>0</v>
      </c>
      <c r="BB32" s="27">
        <v>0</v>
      </c>
      <c r="BC32" s="27">
        <v>23.808201829782469</v>
      </c>
      <c r="BD32" s="27">
        <v>37.658505810076171</v>
      </c>
      <c r="BE32" s="27">
        <v>3.5740033432605181E-13</v>
      </c>
      <c r="BF32" s="27">
        <v>8397.067635419382</v>
      </c>
      <c r="BG32" s="27">
        <v>276.09293709438441</v>
      </c>
      <c r="BH32" s="27">
        <v>276.60018437936378</v>
      </c>
      <c r="BI32" s="27">
        <v>276.60018437936378</v>
      </c>
      <c r="BJ32" s="27">
        <f t="shared" si="72"/>
        <v>9287.8276489123527</v>
      </c>
      <c r="BK32" s="2">
        <f t="shared" si="74"/>
        <v>9287.8276489123527</v>
      </c>
      <c r="BL32" s="2"/>
      <c r="BM32" s="2"/>
      <c r="BN32" s="2"/>
      <c r="BO32" s="2"/>
      <c r="BP32" s="4" t="s">
        <v>111</v>
      </c>
      <c r="BQ32" s="52">
        <v>0</v>
      </c>
      <c r="BR32" s="52">
        <v>0</v>
      </c>
      <c r="BS32" s="52">
        <v>5.0432250915748947E-2</v>
      </c>
      <c r="BT32" s="52">
        <v>1.3440771939027405E-2</v>
      </c>
      <c r="BU32" s="52">
        <v>0</v>
      </c>
      <c r="BV32" s="52">
        <v>7.7329855740169248E-2</v>
      </c>
      <c r="BW32" s="52">
        <v>0</v>
      </c>
      <c r="BX32" s="52">
        <v>1.4309237024041566</v>
      </c>
      <c r="BY32" s="52">
        <v>0.11698511568547715</v>
      </c>
      <c r="BZ32" s="52">
        <f t="shared" si="60"/>
        <v>1.6891116966845792</v>
      </c>
      <c r="CA32" s="52">
        <f t="shared" si="61"/>
        <v>0.25818799428042261</v>
      </c>
      <c r="CB32" s="52">
        <v>0</v>
      </c>
      <c r="CC32" s="4" t="s">
        <v>111</v>
      </c>
      <c r="CD32" s="52">
        <v>0</v>
      </c>
      <c r="CE32" s="52">
        <v>0</v>
      </c>
      <c r="CF32" s="52">
        <v>4.451343202693505E-2</v>
      </c>
      <c r="CG32" s="52">
        <v>1.186333897919669E-2</v>
      </c>
      <c r="CH32" s="52">
        <v>0</v>
      </c>
      <c r="CI32" s="52">
        <v>6.8254285990391586E-2</v>
      </c>
      <c r="CJ32" s="52"/>
      <c r="CK32" s="52">
        <v>0.36479782995614335</v>
      </c>
      <c r="CL32" s="52">
        <v>7.0688880316814806E-2</v>
      </c>
      <c r="CM32" s="52"/>
      <c r="CN32" s="52">
        <f t="shared" si="62"/>
        <v>0.56011776726948148</v>
      </c>
      <c r="CO32" s="52">
        <f t="shared" si="63"/>
        <v>0.19531993731333813</v>
      </c>
      <c r="CP32" s="52">
        <v>0</v>
      </c>
      <c r="CQ32" s="4" t="s">
        <v>111</v>
      </c>
      <c r="CR32" s="52">
        <v>0</v>
      </c>
      <c r="CS32" s="52">
        <v>0</v>
      </c>
      <c r="CT32" s="52">
        <v>0</v>
      </c>
      <c r="CU32" s="52">
        <v>4.1988670604439001E-3</v>
      </c>
      <c r="CV32" s="52">
        <v>1.1617935452867233E-2</v>
      </c>
      <c r="CW32" s="52">
        <v>2.4157673795019461E-2</v>
      </c>
      <c r="CX32" s="52"/>
      <c r="CY32" s="52">
        <v>3.3053490727137633E-2</v>
      </c>
      <c r="CZ32" s="52">
        <v>5.2983016193511104E-2</v>
      </c>
      <c r="DA32" s="52"/>
      <c r="DB32" s="52">
        <f t="shared" si="64"/>
        <v>0.12601098322897933</v>
      </c>
      <c r="DC32" s="52">
        <f t="shared" si="65"/>
        <v>9.2957492501841696E-2</v>
      </c>
      <c r="DD32" s="28">
        <v>0</v>
      </c>
      <c r="DE32" s="54">
        <f t="shared" si="66"/>
        <v>9.2957492501841696E-2</v>
      </c>
      <c r="DF32" s="54">
        <f t="shared" si="67"/>
        <v>0</v>
      </c>
      <c r="DG32" s="52">
        <v>0</v>
      </c>
      <c r="DI32" s="4" t="s">
        <v>111</v>
      </c>
      <c r="DJ32" s="52">
        <v>0</v>
      </c>
      <c r="DK32" s="52">
        <v>0</v>
      </c>
      <c r="DL32" s="52">
        <v>0</v>
      </c>
      <c r="DM32" s="52">
        <v>0</v>
      </c>
      <c r="DN32" s="52">
        <v>1.367512592490227E-3</v>
      </c>
      <c r="DO32" s="52">
        <v>2.1743233318087126E-3</v>
      </c>
      <c r="DP32" s="52"/>
      <c r="DQ32" s="52">
        <v>0</v>
      </c>
      <c r="DR32" s="52">
        <v>0</v>
      </c>
      <c r="DS32" s="52"/>
      <c r="DT32" s="52">
        <f t="shared" si="68"/>
        <v>3.5418359242989396E-3</v>
      </c>
      <c r="DU32" s="52">
        <f t="shared" si="69"/>
        <v>3.5418359242989396E-3</v>
      </c>
      <c r="DV32" s="28">
        <v>0</v>
      </c>
      <c r="DW32" s="54">
        <f t="shared" si="70"/>
        <v>3.5418359242989396E-3</v>
      </c>
      <c r="DX32" s="54">
        <f t="shared" si="71"/>
        <v>0</v>
      </c>
      <c r="DY32" s="52">
        <v>0</v>
      </c>
    </row>
    <row r="33" spans="1:129" s="4" customFormat="1">
      <c r="A33" s="24" t="s">
        <v>112</v>
      </c>
      <c r="B33" s="26" t="s">
        <v>113</v>
      </c>
      <c r="C33" s="26" t="s">
        <v>114</v>
      </c>
      <c r="D33" s="26" t="s">
        <v>329</v>
      </c>
      <c r="E33" s="27">
        <v>0</v>
      </c>
      <c r="F33" s="27">
        <v>0</v>
      </c>
      <c r="G33" s="27">
        <v>1950.3280926041275</v>
      </c>
      <c r="H33" s="27">
        <v>512.74716549209643</v>
      </c>
      <c r="I33" s="27">
        <v>3.6066891785898356</v>
      </c>
      <c r="J33" s="27">
        <v>5501.1606459032901</v>
      </c>
      <c r="K33" s="27">
        <v>-9.0949470177292824E-12</v>
      </c>
      <c r="L33" s="27">
        <v>67850.2485334089</v>
      </c>
      <c r="M33" s="27">
        <v>10918.164119211253</v>
      </c>
      <c r="N33" s="27">
        <v>86736.255245798253</v>
      </c>
      <c r="O33" s="2">
        <v>86736.255245798253</v>
      </c>
      <c r="P33" s="2">
        <v>0</v>
      </c>
      <c r="Q33" s="2">
        <v>2463.0752580962239</v>
      </c>
      <c r="R33" s="2" t="s">
        <v>115</v>
      </c>
      <c r="S33" s="27">
        <v>0</v>
      </c>
      <c r="T33" s="27">
        <v>0</v>
      </c>
      <c r="U33" s="27">
        <v>2397.0084476333618</v>
      </c>
      <c r="V33" s="27">
        <v>630.18078437435906</v>
      </c>
      <c r="W33" s="27">
        <v>4.4327231207157007</v>
      </c>
      <c r="X33" s="27">
        <v>6761.0821943356568</v>
      </c>
      <c r="Y33" s="27">
        <v>-7.139533408917488E-12</v>
      </c>
      <c r="Z33" s="27">
        <v>81797.822246494703</v>
      </c>
      <c r="AA33" s="27">
        <v>9173.4932504544486</v>
      </c>
      <c r="AB33" s="27">
        <v>0</v>
      </c>
      <c r="AC33" s="27">
        <f t="shared" si="57"/>
        <v>100764.01964641325</v>
      </c>
      <c r="AD33" s="2">
        <f t="shared" si="58"/>
        <v>100764.01964641325</v>
      </c>
      <c r="AE33" s="2">
        <f t="shared" si="75"/>
        <v>0</v>
      </c>
      <c r="AF33" s="2" t="s">
        <v>115</v>
      </c>
      <c r="AG33" s="27">
        <v>0</v>
      </c>
      <c r="AH33" s="27">
        <v>0</v>
      </c>
      <c r="AI33" s="27">
        <v>0</v>
      </c>
      <c r="AJ33" s="27">
        <v>244.15948684659338</v>
      </c>
      <c r="AK33" s="27">
        <v>930.42291748979426</v>
      </c>
      <c r="AL33" s="27">
        <v>2619.5377580982949</v>
      </c>
      <c r="AM33" s="27">
        <v>-6.9335345569392307E-12</v>
      </c>
      <c r="AN33" s="27">
        <v>101800.69677733585</v>
      </c>
      <c r="AO33" s="27">
        <v>8654.5373981167068</v>
      </c>
      <c r="AP33" s="27">
        <v>1264.7067208115607</v>
      </c>
      <c r="AQ33" s="27">
        <v>1264.7067208115607</v>
      </c>
      <c r="AR33" s="27">
        <f t="shared" si="59"/>
        <v>116778.76777951035</v>
      </c>
      <c r="AS33" s="2">
        <f t="shared" si="73"/>
        <v>116778.76777951035</v>
      </c>
      <c r="AT33" s="2"/>
      <c r="AU33" s="2"/>
      <c r="AV33" s="2"/>
      <c r="AW33" s="2"/>
      <c r="AX33" s="2" t="s">
        <v>115</v>
      </c>
      <c r="AY33" s="27">
        <v>0</v>
      </c>
      <c r="AZ33" s="27">
        <v>0</v>
      </c>
      <c r="BA33" s="27">
        <v>0</v>
      </c>
      <c r="BB33" s="27">
        <v>0</v>
      </c>
      <c r="BC33" s="27">
        <v>91.103614262892179</v>
      </c>
      <c r="BD33" s="27">
        <v>203.1780457291116</v>
      </c>
      <c r="BE33" s="27">
        <v>-6.7275357049609743E-12</v>
      </c>
      <c r="BF33" s="27">
        <v>119764.0738409921</v>
      </c>
      <c r="BG33" s="27">
        <v>3431.6640417070648</v>
      </c>
      <c r="BH33" s="27">
        <v>1324.2674699640168</v>
      </c>
      <c r="BI33" s="27">
        <v>1324.2674699640168</v>
      </c>
      <c r="BJ33" s="27">
        <f t="shared" si="72"/>
        <v>126138.55448261921</v>
      </c>
      <c r="BK33" s="2">
        <f t="shared" si="74"/>
        <v>126138.55448261921</v>
      </c>
      <c r="BL33" s="2"/>
      <c r="BM33" s="2"/>
      <c r="BN33" s="2"/>
      <c r="BO33" s="2"/>
      <c r="BP33" s="4" t="s">
        <v>115</v>
      </c>
      <c r="BQ33" s="52">
        <v>0</v>
      </c>
      <c r="BR33" s="52">
        <v>0</v>
      </c>
      <c r="BS33" s="52">
        <v>0.15292625617238961</v>
      </c>
      <c r="BT33" s="52">
        <v>3.4583980761361939E-2</v>
      </c>
      <c r="BU33" s="52">
        <v>2.0735271806505523E-4</v>
      </c>
      <c r="BV33" s="52">
        <v>0.3175909354324879</v>
      </c>
      <c r="BW33" s="52">
        <v>0</v>
      </c>
      <c r="BX33" s="52">
        <v>9.2077689935741649</v>
      </c>
      <c r="BY33" s="52">
        <v>0.76741396210026369</v>
      </c>
      <c r="BZ33" s="52">
        <f t="shared" si="60"/>
        <v>10.480491480758733</v>
      </c>
      <c r="CA33" s="52">
        <f t="shared" si="61"/>
        <v>1.2727224871845682</v>
      </c>
      <c r="CB33" s="52">
        <v>0</v>
      </c>
      <c r="CC33" s="4" t="s">
        <v>115</v>
      </c>
      <c r="CD33" s="52">
        <v>0</v>
      </c>
      <c r="CE33" s="52">
        <v>0</v>
      </c>
      <c r="CF33" s="52">
        <v>0.1879506988081753</v>
      </c>
      <c r="CG33" s="52">
        <v>4.2504691570681631E-2</v>
      </c>
      <c r="CH33" s="52">
        <v>2.5484236151161326E-4</v>
      </c>
      <c r="CI33" s="52">
        <v>0.39032825195426002</v>
      </c>
      <c r="CJ33" s="52"/>
      <c r="CK33" s="52">
        <v>3.2631940711132574</v>
      </c>
      <c r="CL33" s="52">
        <v>0.56953965565973474</v>
      </c>
      <c r="CM33" s="52"/>
      <c r="CN33" s="52">
        <f t="shared" si="62"/>
        <v>4.453772211467621</v>
      </c>
      <c r="CO33" s="52">
        <f t="shared" si="63"/>
        <v>1.1905781403543632</v>
      </c>
      <c r="CP33" s="52">
        <v>0</v>
      </c>
      <c r="CQ33" s="4" t="s">
        <v>115</v>
      </c>
      <c r="CR33" s="52">
        <v>0</v>
      </c>
      <c r="CS33" s="52">
        <v>0</v>
      </c>
      <c r="CT33" s="52">
        <v>0</v>
      </c>
      <c r="CU33" s="52">
        <v>1.6468169039418602E-2</v>
      </c>
      <c r="CV33" s="52">
        <v>5.3491085962378011E-2</v>
      </c>
      <c r="CW33" s="52">
        <v>0.15123016769464928</v>
      </c>
      <c r="CX33" s="52"/>
      <c r="CY33" s="52">
        <v>0.37994907359152297</v>
      </c>
      <c r="CZ33" s="52">
        <v>0.54490211483411277</v>
      </c>
      <c r="DA33" s="52"/>
      <c r="DB33" s="52">
        <f t="shared" si="64"/>
        <v>1.1460406111220816</v>
      </c>
      <c r="DC33" s="52">
        <f t="shared" si="65"/>
        <v>0.7660915375305587</v>
      </c>
      <c r="DD33" s="28">
        <v>0</v>
      </c>
      <c r="DE33" s="54">
        <f t="shared" si="66"/>
        <v>0.7660915375305587</v>
      </c>
      <c r="DF33" s="54">
        <f t="shared" si="67"/>
        <v>0</v>
      </c>
      <c r="DG33" s="52">
        <v>0</v>
      </c>
      <c r="DI33" s="4" t="s">
        <v>115</v>
      </c>
      <c r="DJ33" s="52">
        <v>0</v>
      </c>
      <c r="DK33" s="52">
        <v>0</v>
      </c>
      <c r="DL33" s="52">
        <v>0</v>
      </c>
      <c r="DM33" s="52">
        <v>0</v>
      </c>
      <c r="DN33" s="52">
        <v>5.237651792979559E-3</v>
      </c>
      <c r="DO33" s="52">
        <v>1.172979844726166E-2</v>
      </c>
      <c r="DP33" s="52"/>
      <c r="DQ33" s="52">
        <v>0</v>
      </c>
      <c r="DR33" s="52">
        <v>0</v>
      </c>
      <c r="DS33" s="52"/>
      <c r="DT33" s="52">
        <f t="shared" si="68"/>
        <v>1.6967450240241218E-2</v>
      </c>
      <c r="DU33" s="52">
        <f t="shared" si="69"/>
        <v>1.6967450240241218E-2</v>
      </c>
      <c r="DV33" s="28">
        <v>0</v>
      </c>
      <c r="DW33" s="54">
        <f t="shared" si="70"/>
        <v>1.6967450240241218E-2</v>
      </c>
      <c r="DX33" s="54">
        <f t="shared" si="71"/>
        <v>0</v>
      </c>
      <c r="DY33" s="52">
        <v>0</v>
      </c>
    </row>
    <row r="34" spans="1:129" s="4" customFormat="1">
      <c r="A34" s="24" t="s">
        <v>116</v>
      </c>
      <c r="B34" s="26" t="s">
        <v>117</v>
      </c>
      <c r="C34" s="26" t="s">
        <v>118</v>
      </c>
      <c r="D34" s="26" t="s">
        <v>330</v>
      </c>
      <c r="E34" s="27">
        <v>0</v>
      </c>
      <c r="F34" s="27">
        <v>0</v>
      </c>
      <c r="G34" s="27">
        <v>1415.4760419381355</v>
      </c>
      <c r="H34" s="27">
        <v>645.01822450506916</v>
      </c>
      <c r="I34" s="27">
        <v>0</v>
      </c>
      <c r="J34" s="27">
        <v>3384.0772794851996</v>
      </c>
      <c r="K34" s="27">
        <v>3.1832314562052488E-12</v>
      </c>
      <c r="L34" s="27">
        <v>26979.269095841206</v>
      </c>
      <c r="M34" s="27">
        <v>3060.1837702227908</v>
      </c>
      <c r="N34" s="27">
        <v>35484.024411992403</v>
      </c>
      <c r="O34" s="2">
        <v>35484.024411992403</v>
      </c>
      <c r="P34" s="2">
        <v>0</v>
      </c>
      <c r="Q34" s="2">
        <v>2060.4942664432047</v>
      </c>
      <c r="R34" s="2" t="s">
        <v>119</v>
      </c>
      <c r="S34" s="27">
        <v>0</v>
      </c>
      <c r="T34" s="27">
        <v>0</v>
      </c>
      <c r="U34" s="27">
        <v>2153.534387796346</v>
      </c>
      <c r="V34" s="27">
        <v>981.34400447006681</v>
      </c>
      <c r="W34" s="27">
        <v>0</v>
      </c>
      <c r="X34" s="27">
        <v>5148.6048342810427</v>
      </c>
      <c r="Y34" s="27">
        <v>2.4988366931211208E-12</v>
      </c>
      <c r="Z34" s="27">
        <v>40430.758470994064</v>
      </c>
      <c r="AA34" s="27">
        <v>1987.5814777777846</v>
      </c>
      <c r="AB34" s="27">
        <v>0</v>
      </c>
      <c r="AC34" s="27">
        <f t="shared" si="57"/>
        <v>50701.82317531931</v>
      </c>
      <c r="AD34" s="2">
        <f t="shared" si="58"/>
        <v>50701.82317531931</v>
      </c>
      <c r="AE34" s="2">
        <f t="shared" si="75"/>
        <v>0</v>
      </c>
      <c r="AF34" s="2" t="s">
        <v>119</v>
      </c>
      <c r="AG34" s="27">
        <v>0</v>
      </c>
      <c r="AH34" s="27">
        <v>0</v>
      </c>
      <c r="AI34" s="27">
        <v>0</v>
      </c>
      <c r="AJ34" s="27">
        <v>337.33170104759733</v>
      </c>
      <c r="AK34" s="27">
        <v>740.26581401710303</v>
      </c>
      <c r="AL34" s="27">
        <v>1769.8051028576735</v>
      </c>
      <c r="AM34" s="27">
        <v>2.4267370949287307E-12</v>
      </c>
      <c r="AN34" s="27">
        <v>44891.546011123006</v>
      </c>
      <c r="AO34" s="27">
        <v>2664.1371820119357</v>
      </c>
      <c r="AP34" s="27">
        <v>949.1342059741246</v>
      </c>
      <c r="AQ34" s="27">
        <v>949.1342059741246</v>
      </c>
      <c r="AR34" s="27">
        <f t="shared" si="59"/>
        <v>52301.354223005561</v>
      </c>
      <c r="AS34" s="2">
        <f t="shared" si="73"/>
        <v>52301.354223005561</v>
      </c>
      <c r="AT34" s="2"/>
      <c r="AU34" s="2"/>
      <c r="AV34" s="2"/>
      <c r="AW34" s="2"/>
      <c r="AX34" s="2" t="s">
        <v>119</v>
      </c>
      <c r="AY34" s="27">
        <v>0</v>
      </c>
      <c r="AZ34" s="27">
        <v>0</v>
      </c>
      <c r="BA34" s="27">
        <v>0</v>
      </c>
      <c r="BB34" s="27">
        <v>0</v>
      </c>
      <c r="BC34" s="27">
        <v>76.48611682580183</v>
      </c>
      <c r="BD34" s="27">
        <v>125.61788419486535</v>
      </c>
      <c r="BE34" s="27">
        <v>2.354637496736341E-12</v>
      </c>
      <c r="BF34" s="27">
        <v>48731.904591624247</v>
      </c>
      <c r="BG34" s="27">
        <v>966.69930014759404</v>
      </c>
      <c r="BH34" s="27">
        <v>909.46800459300209</v>
      </c>
      <c r="BI34" s="27">
        <v>909.46800459300209</v>
      </c>
      <c r="BJ34" s="27">
        <f t="shared" si="72"/>
        <v>51719.64390197851</v>
      </c>
      <c r="BK34" s="2">
        <f t="shared" si="74"/>
        <v>51719.64390197851</v>
      </c>
      <c r="BL34" s="2"/>
      <c r="BM34" s="2"/>
      <c r="BN34" s="2"/>
      <c r="BO34" s="2"/>
      <c r="BP34" s="4" t="s">
        <v>119</v>
      </c>
      <c r="BQ34" s="52">
        <v>0</v>
      </c>
      <c r="BR34" s="52">
        <v>0</v>
      </c>
      <c r="BS34" s="52">
        <v>0.11065665872217913</v>
      </c>
      <c r="BT34" s="52">
        <v>4.3505253010899789E-2</v>
      </c>
      <c r="BU34" s="52">
        <v>0</v>
      </c>
      <c r="BV34" s="52">
        <v>0.19540978774198758</v>
      </c>
      <c r="BW34" s="52">
        <v>0</v>
      </c>
      <c r="BX34" s="52">
        <v>3.7000131102528275</v>
      </c>
      <c r="BY34" s="52">
        <v>0.21036164799408033</v>
      </c>
      <c r="BZ34" s="52">
        <f t="shared" si="60"/>
        <v>4.2599464577219743</v>
      </c>
      <c r="CA34" s="52">
        <f t="shared" si="61"/>
        <v>0.5599333474691468</v>
      </c>
      <c r="CB34" s="52">
        <v>0</v>
      </c>
      <c r="CC34" s="4" t="s">
        <v>119</v>
      </c>
      <c r="CD34" s="52">
        <v>0</v>
      </c>
      <c r="CE34" s="52">
        <v>0</v>
      </c>
      <c r="CF34" s="52">
        <v>0.16835531844859897</v>
      </c>
      <c r="CG34" s="52">
        <v>6.6189787486949217E-2</v>
      </c>
      <c r="CH34" s="52">
        <v>0</v>
      </c>
      <c r="CI34" s="52">
        <v>0.29730047358353479</v>
      </c>
      <c r="CJ34" s="52"/>
      <c r="CK34" s="52">
        <v>1.6129208297940194</v>
      </c>
      <c r="CL34" s="52">
        <v>0.12074001159292083</v>
      </c>
      <c r="CM34" s="52"/>
      <c r="CN34" s="52">
        <f t="shared" si="62"/>
        <v>2.2655064209060232</v>
      </c>
      <c r="CO34" s="52">
        <f t="shared" si="63"/>
        <v>0.65258559111200376</v>
      </c>
      <c r="CP34" s="52">
        <v>0</v>
      </c>
      <c r="CQ34" s="4" t="s">
        <v>119</v>
      </c>
      <c r="CR34" s="52">
        <v>0</v>
      </c>
      <c r="CS34" s="52">
        <v>0</v>
      </c>
      <c r="CT34" s="52">
        <v>0</v>
      </c>
      <c r="CU34" s="52">
        <v>2.2752381940733205E-2</v>
      </c>
      <c r="CV34" s="52">
        <v>4.2519919383078676E-2</v>
      </c>
      <c r="CW34" s="52">
        <v>0.10219543199873815</v>
      </c>
      <c r="CX34" s="52"/>
      <c r="CY34" s="52">
        <v>0.16754798207643257</v>
      </c>
      <c r="CZ34" s="52">
        <v>0.16815322633459817</v>
      </c>
      <c r="DA34" s="52"/>
      <c r="DB34" s="52">
        <f t="shared" si="64"/>
        <v>0.50316894173358073</v>
      </c>
      <c r="DC34" s="52">
        <f t="shared" si="65"/>
        <v>0.33562095965714822</v>
      </c>
      <c r="DD34" s="28">
        <v>0</v>
      </c>
      <c r="DE34" s="54">
        <f t="shared" si="66"/>
        <v>0.33562095965714822</v>
      </c>
      <c r="DF34" s="54">
        <f t="shared" si="67"/>
        <v>0</v>
      </c>
      <c r="DG34" s="52">
        <v>0</v>
      </c>
      <c r="DI34" s="4" t="s">
        <v>119</v>
      </c>
      <c r="DJ34" s="52">
        <v>0</v>
      </c>
      <c r="DK34" s="52">
        <v>0</v>
      </c>
      <c r="DL34" s="52">
        <v>0</v>
      </c>
      <c r="DM34" s="52">
        <v>0</v>
      </c>
      <c r="DN34" s="52">
        <v>4.3932645000984644E-3</v>
      </c>
      <c r="DO34" s="52">
        <v>7.2536653450332575E-3</v>
      </c>
      <c r="DP34" s="52"/>
      <c r="DQ34" s="52">
        <v>0</v>
      </c>
      <c r="DR34" s="52">
        <v>0</v>
      </c>
      <c r="DS34" s="52"/>
      <c r="DT34" s="52">
        <f t="shared" si="68"/>
        <v>1.1646929845131722E-2</v>
      </c>
      <c r="DU34" s="52">
        <f t="shared" si="69"/>
        <v>1.1646929845131722E-2</v>
      </c>
      <c r="DV34" s="28">
        <v>0</v>
      </c>
      <c r="DW34" s="54">
        <f t="shared" si="70"/>
        <v>1.1646929845131722E-2</v>
      </c>
      <c r="DX34" s="54">
        <f t="shared" si="71"/>
        <v>0</v>
      </c>
      <c r="DY34" s="52">
        <v>0</v>
      </c>
    </row>
    <row r="35" spans="1:129" s="4" customFormat="1">
      <c r="A35" s="24" t="s">
        <v>120</v>
      </c>
      <c r="B35" s="26" t="s">
        <v>121</v>
      </c>
      <c r="C35" s="26" t="s">
        <v>122</v>
      </c>
      <c r="D35" s="26" t="s">
        <v>331</v>
      </c>
      <c r="E35" s="27">
        <v>0</v>
      </c>
      <c r="F35" s="27">
        <v>0</v>
      </c>
      <c r="G35" s="27">
        <v>420.61186741830272</v>
      </c>
      <c r="H35" s="27">
        <v>89.495846771400792</v>
      </c>
      <c r="I35" s="27">
        <v>35.075676311622885</v>
      </c>
      <c r="J35" s="27">
        <v>887.70371523800986</v>
      </c>
      <c r="K35" s="27">
        <v>-9.5212726591853425E-13</v>
      </c>
      <c r="L35" s="27">
        <v>14199.881410597587</v>
      </c>
      <c r="M35" s="27">
        <v>1648.756885615951</v>
      </c>
      <c r="N35" s="27">
        <v>17281.525401952873</v>
      </c>
      <c r="O35" s="2">
        <v>17281.525401952873</v>
      </c>
      <c r="P35" s="2">
        <v>0</v>
      </c>
      <c r="Q35" s="2">
        <v>510.10771418970353</v>
      </c>
      <c r="R35" s="2" t="s">
        <v>123</v>
      </c>
      <c r="S35" s="27">
        <v>0</v>
      </c>
      <c r="T35" s="27">
        <v>0</v>
      </c>
      <c r="U35" s="27">
        <v>446.71165559789603</v>
      </c>
      <c r="V35" s="27">
        <v>95.049238923705204</v>
      </c>
      <c r="W35" s="27">
        <v>37.252190558851424</v>
      </c>
      <c r="X35" s="27">
        <v>942.78746519532717</v>
      </c>
      <c r="Y35" s="27">
        <v>-7.4741990374604947E-13</v>
      </c>
      <c r="Z35" s="27">
        <v>14683.859479588542</v>
      </c>
      <c r="AA35" s="27">
        <v>1137.4142875710663</v>
      </c>
      <c r="AB35" s="27">
        <v>0</v>
      </c>
      <c r="AC35" s="27">
        <f t="shared" si="57"/>
        <v>17343.074317435388</v>
      </c>
      <c r="AD35" s="2">
        <f t="shared" si="58"/>
        <v>17343.074317435388</v>
      </c>
      <c r="AE35" s="2">
        <f t="shared" si="75"/>
        <v>0</v>
      </c>
      <c r="AF35" s="2" t="s">
        <v>123</v>
      </c>
      <c r="AG35" s="27">
        <v>0</v>
      </c>
      <c r="AH35" s="27">
        <v>0</v>
      </c>
      <c r="AI35" s="27">
        <v>0</v>
      </c>
      <c r="AJ35" s="27">
        <v>40.763810034555341</v>
      </c>
      <c r="AK35" s="27">
        <v>207.55779332606758</v>
      </c>
      <c r="AL35" s="27">
        <v>404.33368609117252</v>
      </c>
      <c r="AM35" s="27">
        <v>-7.2585439892957578E-13</v>
      </c>
      <c r="AN35" s="27">
        <v>20124.281120177013</v>
      </c>
      <c r="AO35" s="27">
        <v>1250.122049436834</v>
      </c>
      <c r="AP35" s="27">
        <v>217.55176315059845</v>
      </c>
      <c r="AQ35" s="27">
        <v>217.55176315059845</v>
      </c>
      <c r="AR35" s="27">
        <f t="shared" si="59"/>
        <v>22462.161985366838</v>
      </c>
      <c r="AS35" s="2">
        <f t="shared" si="73"/>
        <v>22462.161985366838</v>
      </c>
      <c r="AT35" s="2"/>
      <c r="AU35" s="2"/>
      <c r="AV35" s="2"/>
      <c r="AW35" s="2"/>
      <c r="AX35" s="2" t="s">
        <v>123</v>
      </c>
      <c r="AY35" s="27">
        <v>0</v>
      </c>
      <c r="AZ35" s="27">
        <v>0</v>
      </c>
      <c r="BA35" s="27">
        <v>0</v>
      </c>
      <c r="BB35" s="27">
        <v>0</v>
      </c>
      <c r="BC35" s="27">
        <v>20.502789981097497</v>
      </c>
      <c r="BD35" s="27">
        <v>33.384000973009485</v>
      </c>
      <c r="BE35" s="27">
        <v>-7.0428889411310209E-13</v>
      </c>
      <c r="BF35" s="27">
        <v>25168.97665656438</v>
      </c>
      <c r="BG35" s="27">
        <v>527.6666709674505</v>
      </c>
      <c r="BH35" s="27">
        <v>242.49055929348134</v>
      </c>
      <c r="BI35" s="27">
        <v>242.49055929348134</v>
      </c>
      <c r="BJ35" s="27">
        <f t="shared" si="72"/>
        <v>26235.5112370729</v>
      </c>
      <c r="BK35" s="2">
        <f t="shared" si="74"/>
        <v>26235.5112370729</v>
      </c>
      <c r="BL35" s="2"/>
      <c r="BM35" s="2"/>
      <c r="BN35" s="2"/>
      <c r="BO35" s="2"/>
      <c r="BP35" s="4" t="s">
        <v>123</v>
      </c>
      <c r="BQ35" s="52">
        <v>0</v>
      </c>
      <c r="BR35" s="52">
        <v>0</v>
      </c>
      <c r="BS35" s="52">
        <v>3.2822412020301027E-2</v>
      </c>
      <c r="BT35" s="52">
        <v>6.0363592915807325E-3</v>
      </c>
      <c r="BU35" s="52">
        <v>2.0171821289726275E-3</v>
      </c>
      <c r="BV35" s="52">
        <v>5.1267625399185342E-2</v>
      </c>
      <c r="BW35" s="52">
        <v>0</v>
      </c>
      <c r="BX35" s="52">
        <v>1.9254684163835789</v>
      </c>
      <c r="BY35" s="52">
        <v>0.13875531495949966</v>
      </c>
      <c r="BZ35" s="52">
        <f t="shared" si="60"/>
        <v>2.1563673101831182</v>
      </c>
      <c r="CA35" s="52">
        <f t="shared" si="61"/>
        <v>0.23089889379953932</v>
      </c>
      <c r="CB35" s="52">
        <v>0</v>
      </c>
      <c r="CC35" s="4" t="s">
        <v>123</v>
      </c>
      <c r="CD35" s="52">
        <v>0</v>
      </c>
      <c r="CE35" s="52">
        <v>0</v>
      </c>
      <c r="CF35" s="52">
        <v>3.4859106815745874E-2</v>
      </c>
      <c r="CG35" s="52">
        <v>6.410927179674804E-3</v>
      </c>
      <c r="CH35" s="52">
        <v>2.142352221316902E-3</v>
      </c>
      <c r="CI35" s="52">
        <v>5.4448881723697815E-2</v>
      </c>
      <c r="CJ35" s="52"/>
      <c r="CK35" s="52">
        <v>0.58578922859901561</v>
      </c>
      <c r="CL35" s="52">
        <v>6.9487090590326012E-2</v>
      </c>
      <c r="CM35" s="52"/>
      <c r="CN35" s="52">
        <f t="shared" si="62"/>
        <v>0.75313758712977696</v>
      </c>
      <c r="CO35" s="52">
        <f t="shared" si="63"/>
        <v>0.16734835853076141</v>
      </c>
      <c r="CP35" s="52">
        <v>0</v>
      </c>
      <c r="CQ35" s="4" t="s">
        <v>123</v>
      </c>
      <c r="CR35" s="52">
        <v>0</v>
      </c>
      <c r="CS35" s="52">
        <v>0</v>
      </c>
      <c r="CT35" s="52">
        <v>0</v>
      </c>
      <c r="CU35" s="52">
        <v>2.7494572356060697E-3</v>
      </c>
      <c r="CV35" s="52">
        <v>1.1936530252664029E-2</v>
      </c>
      <c r="CW35" s="52">
        <v>2.3351516501467089E-2</v>
      </c>
      <c r="CX35" s="52"/>
      <c r="CY35" s="52">
        <v>7.5109524888919282E-2</v>
      </c>
      <c r="CZ35" s="52">
        <v>7.981983725579668E-2</v>
      </c>
      <c r="DA35" s="52"/>
      <c r="DB35" s="52">
        <f t="shared" si="64"/>
        <v>0.19296686613445313</v>
      </c>
      <c r="DC35" s="52">
        <f t="shared" si="65"/>
        <v>0.11785734124553388</v>
      </c>
      <c r="DD35" s="28">
        <v>0</v>
      </c>
      <c r="DE35" s="54">
        <f t="shared" si="66"/>
        <v>0.11785734124553388</v>
      </c>
      <c r="DF35" s="54">
        <f t="shared" si="67"/>
        <v>0</v>
      </c>
      <c r="DG35" s="52">
        <v>0</v>
      </c>
      <c r="DI35" s="4" t="s">
        <v>123</v>
      </c>
      <c r="DJ35" s="52">
        <v>0</v>
      </c>
      <c r="DK35" s="52">
        <v>0</v>
      </c>
      <c r="DL35" s="52">
        <v>0</v>
      </c>
      <c r="DM35" s="52">
        <v>0</v>
      </c>
      <c r="DN35" s="52">
        <v>1.1791037520278496E-3</v>
      </c>
      <c r="DO35" s="52">
        <v>1.9280289434762581E-3</v>
      </c>
      <c r="DP35" s="52"/>
      <c r="DQ35" s="52">
        <v>0</v>
      </c>
      <c r="DR35" s="52">
        <v>0</v>
      </c>
      <c r="DS35" s="52"/>
      <c r="DT35" s="52">
        <f t="shared" si="68"/>
        <v>3.1071326955041077E-3</v>
      </c>
      <c r="DU35" s="52">
        <f t="shared" si="69"/>
        <v>3.1071326955041077E-3</v>
      </c>
      <c r="DV35" s="28">
        <v>0</v>
      </c>
      <c r="DW35" s="54">
        <f t="shared" si="70"/>
        <v>3.1071326955041077E-3</v>
      </c>
      <c r="DX35" s="54">
        <f t="shared" si="71"/>
        <v>0</v>
      </c>
      <c r="DY35" s="52">
        <v>0</v>
      </c>
    </row>
    <row r="36" spans="1:129" s="4" customFormat="1">
      <c r="A36" s="24" t="s">
        <v>124</v>
      </c>
      <c r="B36" s="26" t="s">
        <v>125</v>
      </c>
      <c r="C36" s="26" t="s">
        <v>126</v>
      </c>
      <c r="D36" s="26" t="s">
        <v>332</v>
      </c>
      <c r="E36" s="27">
        <v>183.61444673980446</v>
      </c>
      <c r="F36" s="27">
        <v>2485.0010149024083</v>
      </c>
      <c r="G36" s="27">
        <v>7223.9219422096749</v>
      </c>
      <c r="H36" s="27">
        <v>5680.2458101704788</v>
      </c>
      <c r="I36" s="27">
        <v>1168.9563754352489</v>
      </c>
      <c r="J36" s="27">
        <v>24673.245772559239</v>
      </c>
      <c r="K36" s="27">
        <v>0</v>
      </c>
      <c r="L36" s="27">
        <v>97265.576866318937</v>
      </c>
      <c r="M36" s="27">
        <v>11583.949130165414</v>
      </c>
      <c r="N36" s="27">
        <v>150264.51135850121</v>
      </c>
      <c r="O36" s="2">
        <v>150264.51135850121</v>
      </c>
      <c r="P36" s="2">
        <v>0</v>
      </c>
      <c r="Q36" s="2">
        <v>12904.167752380154</v>
      </c>
      <c r="R36" s="2" t="s">
        <v>127</v>
      </c>
      <c r="S36" s="27">
        <v>60.659127025117378</v>
      </c>
      <c r="T36" s="27">
        <v>820.94843241892579</v>
      </c>
      <c r="U36" s="27">
        <v>4339.1000346105893</v>
      </c>
      <c r="V36" s="27">
        <v>3411.8799993522953</v>
      </c>
      <c r="W36" s="27">
        <v>1423.4572272873031</v>
      </c>
      <c r="X36" s="27">
        <v>14820.16035640048</v>
      </c>
      <c r="Y36" s="27">
        <v>0</v>
      </c>
      <c r="Z36" s="27">
        <v>58894.655970607797</v>
      </c>
      <c r="AA36" s="27">
        <v>987.03255775903858</v>
      </c>
      <c r="AB36" s="27">
        <v>0</v>
      </c>
      <c r="AC36" s="27">
        <f t="shared" si="57"/>
        <v>84757.893705461553</v>
      </c>
      <c r="AD36" s="2">
        <f t="shared" si="58"/>
        <v>84757.893705461553</v>
      </c>
      <c r="AE36" s="2">
        <f t="shared" si="75"/>
        <v>0</v>
      </c>
      <c r="AF36" s="2" t="s">
        <v>127</v>
      </c>
      <c r="AG36" s="27">
        <v>0</v>
      </c>
      <c r="AH36" s="27">
        <v>0</v>
      </c>
      <c r="AI36" s="27">
        <v>0</v>
      </c>
      <c r="AJ36" s="27">
        <v>1075.5233005348873</v>
      </c>
      <c r="AK36" s="27">
        <v>2094.4330044737917</v>
      </c>
      <c r="AL36" s="27">
        <v>4671.7433743267766</v>
      </c>
      <c r="AM36" s="27">
        <v>0</v>
      </c>
      <c r="AN36" s="27">
        <v>54914.739746068459</v>
      </c>
      <c r="AO36" s="27">
        <v>3285.4360898442774</v>
      </c>
      <c r="AP36" s="27">
        <v>2613.8998931118185</v>
      </c>
      <c r="AQ36" s="27">
        <v>2613.8998931118185</v>
      </c>
      <c r="AR36" s="27">
        <f t="shared" si="59"/>
        <v>71269.675301471812</v>
      </c>
      <c r="AS36" s="2">
        <f t="shared" si="73"/>
        <v>71269.675301471812</v>
      </c>
      <c r="AT36" s="2"/>
      <c r="AU36" s="2"/>
      <c r="AV36" s="2"/>
      <c r="AW36" s="2"/>
      <c r="AX36" s="2" t="s">
        <v>127</v>
      </c>
      <c r="AY36" s="27">
        <v>0</v>
      </c>
      <c r="AZ36" s="27">
        <v>0</v>
      </c>
      <c r="BA36" s="27">
        <v>0</v>
      </c>
      <c r="BB36" s="27">
        <v>0</v>
      </c>
      <c r="BC36" s="27">
        <v>239.12211961920926</v>
      </c>
      <c r="BD36" s="27">
        <v>352.40775282009992</v>
      </c>
      <c r="BE36" s="27">
        <v>0</v>
      </c>
      <c r="BF36" s="27">
        <v>49676.205051270881</v>
      </c>
      <c r="BG36" s="27">
        <v>984.42258501434253</v>
      </c>
      <c r="BH36" s="27">
        <v>2661.8844259768903</v>
      </c>
      <c r="BI36" s="27">
        <v>2661.8844259768903</v>
      </c>
      <c r="BJ36" s="27">
        <f t="shared" si="72"/>
        <v>56575.926360678306</v>
      </c>
      <c r="BK36" s="2">
        <f t="shared" si="74"/>
        <v>56575.926360678306</v>
      </c>
      <c r="BL36" s="2"/>
      <c r="BM36" s="2"/>
      <c r="BN36" s="2"/>
      <c r="BO36" s="2"/>
      <c r="BP36" s="4" t="s">
        <v>127</v>
      </c>
      <c r="BQ36" s="52">
        <v>1.8435822620727873E-2</v>
      </c>
      <c r="BR36" s="52">
        <v>0.30830049949791505</v>
      </c>
      <c r="BS36" s="52">
        <v>0.56326382892757121</v>
      </c>
      <c r="BT36" s="52">
        <v>0.38312041489258791</v>
      </c>
      <c r="BU36" s="52">
        <v>6.7140110544065254E-2</v>
      </c>
      <c r="BV36" s="52">
        <v>1.424729507676054</v>
      </c>
      <c r="BW36" s="52">
        <v>0</v>
      </c>
      <c r="BX36" s="52">
        <v>13.226213730611336</v>
      </c>
      <c r="BY36" s="52">
        <v>0.91319633181855375</v>
      </c>
      <c r="BZ36" s="52">
        <f t="shared" si="60"/>
        <v>16.904400246588811</v>
      </c>
      <c r="CA36" s="52">
        <f t="shared" si="61"/>
        <v>3.6781865159774743</v>
      </c>
      <c r="CB36" s="52">
        <v>0</v>
      </c>
      <c r="CC36" s="4" t="s">
        <v>127</v>
      </c>
      <c r="CD36" s="52">
        <v>6.0904843056711179E-3</v>
      </c>
      <c r="CE36" s="52">
        <v>0.10185058688465966</v>
      </c>
      <c r="CF36" s="52">
        <v>0.33832842037145844</v>
      </c>
      <c r="CG36" s="52">
        <v>0.23012399896059124</v>
      </c>
      <c r="CH36" s="52">
        <v>8.1757606702160493E-2</v>
      </c>
      <c r="CI36" s="52">
        <v>0.85577390031666267</v>
      </c>
      <c r="CJ36" s="52"/>
      <c r="CK36" s="52">
        <v>2.3495086654556756</v>
      </c>
      <c r="CL36" s="52">
        <v>2.1421769075169468E-2</v>
      </c>
      <c r="CM36" s="52"/>
      <c r="CN36" s="52">
        <f t="shared" si="62"/>
        <v>3.9848554320720484</v>
      </c>
      <c r="CO36" s="52">
        <f t="shared" si="63"/>
        <v>1.635346766616373</v>
      </c>
      <c r="CP36" s="52">
        <v>0</v>
      </c>
      <c r="CQ36" s="4" t="s">
        <v>127</v>
      </c>
      <c r="CR36" s="52">
        <v>0</v>
      </c>
      <c r="CS36" s="52">
        <v>0</v>
      </c>
      <c r="CT36" s="52">
        <v>0</v>
      </c>
      <c r="CU36" s="52">
        <v>7.2541743244594684E-2</v>
      </c>
      <c r="CV36" s="52">
        <v>0.12029573250340544</v>
      </c>
      <c r="CW36" s="52">
        <v>0.26976469569706973</v>
      </c>
      <c r="CX36" s="52"/>
      <c r="CY36" s="52">
        <v>0.20495738392316662</v>
      </c>
      <c r="CZ36" s="52">
        <v>0.1979352799544811</v>
      </c>
      <c r="DA36" s="52"/>
      <c r="DB36" s="52">
        <f t="shared" si="64"/>
        <v>0.86549483532271765</v>
      </c>
      <c r="DC36" s="52">
        <f t="shared" si="65"/>
        <v>0.660537451399551</v>
      </c>
      <c r="DD36" s="28">
        <v>0</v>
      </c>
      <c r="DE36" s="54">
        <f t="shared" si="66"/>
        <v>0.660537451399551</v>
      </c>
      <c r="DF36" s="54">
        <f t="shared" si="67"/>
        <v>0</v>
      </c>
      <c r="DG36" s="52">
        <v>0</v>
      </c>
      <c r="DI36" s="4" t="s">
        <v>127</v>
      </c>
      <c r="DJ36" s="52">
        <v>0</v>
      </c>
      <c r="DK36" s="52">
        <v>0</v>
      </c>
      <c r="DL36" s="52">
        <v>0</v>
      </c>
      <c r="DM36" s="52">
        <v>0</v>
      </c>
      <c r="DN36" s="52">
        <v>1.3734204186009171E-2</v>
      </c>
      <c r="DO36" s="52">
        <v>2.0349399053731652E-2</v>
      </c>
      <c r="DP36" s="52"/>
      <c r="DQ36" s="52">
        <v>0</v>
      </c>
      <c r="DR36" s="52">
        <v>0</v>
      </c>
      <c r="DS36" s="52"/>
      <c r="DT36" s="52">
        <f t="shared" si="68"/>
        <v>3.4083603239740821E-2</v>
      </c>
      <c r="DU36" s="52">
        <f t="shared" si="69"/>
        <v>3.4083603239740821E-2</v>
      </c>
      <c r="DV36" s="28">
        <v>0</v>
      </c>
      <c r="DW36" s="54">
        <f t="shared" si="70"/>
        <v>3.4083603239740821E-2</v>
      </c>
      <c r="DX36" s="54">
        <f t="shared" si="71"/>
        <v>0</v>
      </c>
      <c r="DY36" s="52">
        <v>0</v>
      </c>
    </row>
    <row r="37" spans="1:129" s="4" customFormat="1">
      <c r="A37" s="24" t="s">
        <v>128</v>
      </c>
      <c r="B37" s="26" t="s">
        <v>129</v>
      </c>
      <c r="C37" s="26" t="s">
        <v>130</v>
      </c>
      <c r="D37" s="26" t="s">
        <v>333</v>
      </c>
      <c r="E37" s="27">
        <v>0</v>
      </c>
      <c r="F37" s="27">
        <v>0</v>
      </c>
      <c r="G37" s="27">
        <v>2843.4803423973858</v>
      </c>
      <c r="H37" s="27">
        <v>901.16966038355565</v>
      </c>
      <c r="I37" s="27">
        <v>561.81432776561053</v>
      </c>
      <c r="J37" s="27">
        <v>5279.9544905999992</v>
      </c>
      <c r="K37" s="27">
        <v>4.2064129956997931E-12</v>
      </c>
      <c r="L37" s="27">
        <v>18742.61448</v>
      </c>
      <c r="M37" s="27">
        <v>2973.8200063716395</v>
      </c>
      <c r="N37" s="27">
        <v>31302.853307518195</v>
      </c>
      <c r="O37" s="2">
        <v>31302.853307518195</v>
      </c>
      <c r="P37" s="2">
        <v>0</v>
      </c>
      <c r="Q37" s="2">
        <v>3744.6500027809416</v>
      </c>
      <c r="R37" s="2" t="s">
        <v>131</v>
      </c>
      <c r="S37" s="27">
        <v>0</v>
      </c>
      <c r="T37" s="27">
        <v>0</v>
      </c>
      <c r="U37" s="27">
        <v>2705.3020129688925</v>
      </c>
      <c r="V37" s="27">
        <v>857.37751019817551</v>
      </c>
      <c r="W37" s="27">
        <v>534.51307862309238</v>
      </c>
      <c r="X37" s="27">
        <v>5023.3762121813543</v>
      </c>
      <c r="Y37" s="27">
        <v>3.3020342016243378E-12</v>
      </c>
      <c r="Z37" s="27">
        <v>18250.363688130827</v>
      </c>
      <c r="AA37" s="27">
        <v>463.47179470456831</v>
      </c>
      <c r="AB37" s="27">
        <v>0</v>
      </c>
      <c r="AC37" s="27">
        <f t="shared" si="57"/>
        <v>27834.404296806915</v>
      </c>
      <c r="AD37" s="2">
        <f t="shared" si="58"/>
        <v>27834.404296806915</v>
      </c>
      <c r="AE37" s="2">
        <f t="shared" si="75"/>
        <v>0</v>
      </c>
      <c r="AF37" s="2" t="s">
        <v>131</v>
      </c>
      <c r="AG37" s="27">
        <v>0</v>
      </c>
      <c r="AH37" s="27">
        <v>0</v>
      </c>
      <c r="AI37" s="27">
        <v>0</v>
      </c>
      <c r="AJ37" s="27">
        <v>284.43590682217945</v>
      </c>
      <c r="AK37" s="27">
        <v>1074.8121248248597</v>
      </c>
      <c r="AL37" s="27">
        <v>1666.5104358644851</v>
      </c>
      <c r="AM37" s="27">
        <v>3.2067597325843942E-12</v>
      </c>
      <c r="AN37" s="27">
        <v>18807.429330002524</v>
      </c>
      <c r="AO37" s="27">
        <v>1457.2431406070211</v>
      </c>
      <c r="AP37" s="27">
        <v>1008.5861558371747</v>
      </c>
      <c r="AQ37" s="27">
        <v>1008.5861558371747</v>
      </c>
      <c r="AR37" s="27">
        <f t="shared" si="59"/>
        <v>25307.603249795426</v>
      </c>
      <c r="AS37" s="2">
        <f t="shared" si="73"/>
        <v>25307.603249795426</v>
      </c>
      <c r="AT37" s="2"/>
      <c r="AU37" s="2"/>
      <c r="AV37" s="2"/>
      <c r="AW37" s="2"/>
      <c r="AX37" s="2" t="s">
        <v>131</v>
      </c>
      <c r="AY37" s="27">
        <v>0</v>
      </c>
      <c r="AZ37" s="27">
        <v>0</v>
      </c>
      <c r="BA37" s="27">
        <v>0</v>
      </c>
      <c r="BB37" s="27">
        <v>0</v>
      </c>
      <c r="BC37" s="27">
        <v>104.59116563845765</v>
      </c>
      <c r="BD37" s="27">
        <v>128.23433617521127</v>
      </c>
      <c r="BE37" s="27">
        <v>3.1114852635444502E-12</v>
      </c>
      <c r="BF37" s="27">
        <v>18933.252955373868</v>
      </c>
      <c r="BG37" s="27">
        <v>480.5039379927785</v>
      </c>
      <c r="BH37" s="27">
        <v>1047.7147581615097</v>
      </c>
      <c r="BI37" s="27">
        <v>1047.7147581615097</v>
      </c>
      <c r="BJ37" s="27">
        <f t="shared" si="72"/>
        <v>21742.011911503341</v>
      </c>
      <c r="BK37" s="2">
        <f t="shared" si="74"/>
        <v>21742.011911503341</v>
      </c>
      <c r="BL37" s="2"/>
      <c r="BM37" s="2"/>
      <c r="BN37" s="2"/>
      <c r="BO37" s="2"/>
      <c r="BP37" s="4" t="s">
        <v>131</v>
      </c>
      <c r="BQ37" s="52">
        <v>0</v>
      </c>
      <c r="BR37" s="52">
        <v>0</v>
      </c>
      <c r="BS37" s="52">
        <v>0.22076495655522935</v>
      </c>
      <c r="BT37" s="52">
        <v>6.0781695353788946E-2</v>
      </c>
      <c r="BU37" s="52">
        <v>3.2247652878166902E-2</v>
      </c>
      <c r="BV37" s="52">
        <v>0.30478128665363913</v>
      </c>
      <c r="BW37" s="52">
        <v>0</v>
      </c>
      <c r="BX37" s="52">
        <v>2.5158982060663622</v>
      </c>
      <c r="BY37" s="52">
        <v>0.25723739865666662</v>
      </c>
      <c r="BZ37" s="52">
        <f t="shared" si="60"/>
        <v>3.3917111961638531</v>
      </c>
      <c r="CA37" s="52">
        <f t="shared" si="61"/>
        <v>0.87581299009749092</v>
      </c>
      <c r="CB37" s="52">
        <v>0</v>
      </c>
      <c r="CC37" s="4" t="s">
        <v>131</v>
      </c>
      <c r="CD37" s="52">
        <v>0</v>
      </c>
      <c r="CE37" s="52">
        <v>0</v>
      </c>
      <c r="CF37" s="52">
        <v>0.21003692990481956</v>
      </c>
      <c r="CG37" s="52">
        <v>5.7828021646751084E-2</v>
      </c>
      <c r="CH37" s="52">
        <v>3.0680584966264912E-2</v>
      </c>
      <c r="CI37" s="52">
        <v>0.28997050410560171</v>
      </c>
      <c r="CJ37" s="52"/>
      <c r="CK37" s="52">
        <v>0.72806924374225979</v>
      </c>
      <c r="CL37" s="52">
        <v>1.9499808275900563E-2</v>
      </c>
      <c r="CM37" s="52"/>
      <c r="CN37" s="52">
        <f t="shared" si="62"/>
        <v>1.3360850926415977</v>
      </c>
      <c r="CO37" s="52">
        <f t="shared" si="63"/>
        <v>0.60801584889933791</v>
      </c>
      <c r="CP37" s="52">
        <v>0</v>
      </c>
      <c r="CQ37" s="4" t="s">
        <v>131</v>
      </c>
      <c r="CR37" s="52">
        <v>0</v>
      </c>
      <c r="CS37" s="52">
        <v>0</v>
      </c>
      <c r="CT37" s="52">
        <v>0</v>
      </c>
      <c r="CU37" s="52">
        <v>1.9184508085620729E-2</v>
      </c>
      <c r="CV37" s="52">
        <v>6.1693279429956664E-2</v>
      </c>
      <c r="CW37" s="52">
        <v>9.6198025147519017E-2</v>
      </c>
      <c r="CX37" s="52"/>
      <c r="CY37" s="52">
        <v>7.019466051595237E-2</v>
      </c>
      <c r="CZ37" s="52">
        <v>8.9424163998433184E-2</v>
      </c>
      <c r="DA37" s="52"/>
      <c r="DB37" s="52">
        <f t="shared" si="64"/>
        <v>0.33669463717748194</v>
      </c>
      <c r="DC37" s="52">
        <f t="shared" si="65"/>
        <v>0.26649997666152958</v>
      </c>
      <c r="DD37" s="28">
        <v>0</v>
      </c>
      <c r="DE37" s="54">
        <f t="shared" si="66"/>
        <v>0.26649997666152958</v>
      </c>
      <c r="DF37" s="54">
        <f t="shared" si="67"/>
        <v>0</v>
      </c>
      <c r="DG37" s="52">
        <v>0</v>
      </c>
      <c r="DI37" s="4" t="s">
        <v>131</v>
      </c>
      <c r="DJ37" s="52">
        <v>0</v>
      </c>
      <c r="DK37" s="52">
        <v>0</v>
      </c>
      <c r="DL37" s="52">
        <v>0</v>
      </c>
      <c r="DM37" s="52">
        <v>0</v>
      </c>
      <c r="DN37" s="52">
        <v>6.0034417723838895E-3</v>
      </c>
      <c r="DO37" s="52">
        <v>7.4022278112883619E-3</v>
      </c>
      <c r="DP37" s="52"/>
      <c r="DQ37" s="52">
        <v>0</v>
      </c>
      <c r="DR37" s="52">
        <v>0</v>
      </c>
      <c r="DS37" s="52"/>
      <c r="DT37" s="52">
        <f t="shared" si="68"/>
        <v>1.3405669583672251E-2</v>
      </c>
      <c r="DU37" s="52">
        <f t="shared" si="69"/>
        <v>1.3405669583672251E-2</v>
      </c>
      <c r="DV37" s="28">
        <v>0</v>
      </c>
      <c r="DW37" s="54">
        <f t="shared" si="70"/>
        <v>1.3405669583672251E-2</v>
      </c>
      <c r="DX37" s="54">
        <f t="shared" si="71"/>
        <v>0</v>
      </c>
      <c r="DY37" s="52">
        <v>0</v>
      </c>
    </row>
    <row r="38" spans="1:129" s="4" customFormat="1">
      <c r="A38" s="24" t="s">
        <v>132</v>
      </c>
      <c r="B38" s="26" t="s">
        <v>133</v>
      </c>
      <c r="C38" s="26" t="s">
        <v>134</v>
      </c>
      <c r="D38" s="84" t="s">
        <v>334</v>
      </c>
      <c r="E38" s="27">
        <v>0</v>
      </c>
      <c r="F38" s="27">
        <v>4.4069371252941201</v>
      </c>
      <c r="G38" s="27">
        <v>1159.5133671318495</v>
      </c>
      <c r="H38" s="27">
        <v>106.2436234233101</v>
      </c>
      <c r="I38" s="27">
        <v>0</v>
      </c>
      <c r="J38" s="27">
        <v>863.74424010345888</v>
      </c>
      <c r="K38" s="27">
        <v>1.4352963262354024E-12</v>
      </c>
      <c r="L38" s="27">
        <v>7777.7500880608159</v>
      </c>
      <c r="M38" s="27">
        <v>1010.9500287052215</v>
      </c>
      <c r="N38" s="27">
        <v>10922.608284549951</v>
      </c>
      <c r="O38" s="2">
        <v>10922.608284549951</v>
      </c>
      <c r="P38" s="2">
        <v>0</v>
      </c>
      <c r="Q38" s="2">
        <v>1265.7569905551595</v>
      </c>
      <c r="R38" s="9" t="s">
        <v>135</v>
      </c>
      <c r="S38" s="27">
        <v>0</v>
      </c>
      <c r="T38" s="27">
        <v>1.5839093229982748</v>
      </c>
      <c r="U38" s="27">
        <v>757.71612723126827</v>
      </c>
      <c r="V38" s="27">
        <v>69.427838578918042</v>
      </c>
      <c r="W38" s="27">
        <v>1.295925809725861</v>
      </c>
      <c r="X38" s="27">
        <v>564.43759863536502</v>
      </c>
      <c r="Y38" s="27">
        <v>1.126707616094791E-12</v>
      </c>
      <c r="Z38" s="27">
        <v>4994.9330266347388</v>
      </c>
      <c r="AA38" s="27">
        <v>466.27196607874208</v>
      </c>
      <c r="AB38" s="27">
        <v>0</v>
      </c>
      <c r="AC38" s="27">
        <f t="shared" si="57"/>
        <v>6855.6663922917578</v>
      </c>
      <c r="AD38" s="2">
        <f t="shared" si="58"/>
        <v>6855.6663922917578</v>
      </c>
      <c r="AE38" s="2">
        <f t="shared" si="75"/>
        <v>0</v>
      </c>
      <c r="AF38" s="9" t="s">
        <v>135</v>
      </c>
      <c r="AG38" s="27">
        <v>0</v>
      </c>
      <c r="AH38" s="27">
        <v>0</v>
      </c>
      <c r="AI38" s="27">
        <v>0</v>
      </c>
      <c r="AJ38" s="27">
        <v>35.627043537999853</v>
      </c>
      <c r="AK38" s="27">
        <v>390.30144133274462</v>
      </c>
      <c r="AL38" s="27">
        <v>289.64235834892406</v>
      </c>
      <c r="AM38" s="27">
        <v>1.0941984222669723E-12</v>
      </c>
      <c r="AN38" s="27">
        <v>6519.8350557528465</v>
      </c>
      <c r="AO38" s="27">
        <v>440.18625709044039</v>
      </c>
      <c r="AP38" s="27">
        <v>238.52361440655616</v>
      </c>
      <c r="AQ38" s="27">
        <v>238.52361440655616</v>
      </c>
      <c r="AR38" s="27">
        <f t="shared" si="59"/>
        <v>8152.6393848760699</v>
      </c>
      <c r="AS38" s="2">
        <f t="shared" si="73"/>
        <v>8152.6393848760699</v>
      </c>
      <c r="AT38" s="2"/>
      <c r="AU38" s="2"/>
      <c r="AV38" s="2"/>
      <c r="AW38" s="2"/>
      <c r="AX38" s="9" t="s">
        <v>135</v>
      </c>
      <c r="AY38" s="27">
        <v>0</v>
      </c>
      <c r="AZ38" s="27">
        <v>0</v>
      </c>
      <c r="BA38" s="27">
        <v>0</v>
      </c>
      <c r="BB38" s="27">
        <v>0</v>
      </c>
      <c r="BC38" s="27">
        <v>55.011616687101032</v>
      </c>
      <c r="BD38" s="27">
        <v>37.409318605855461</v>
      </c>
      <c r="BE38" s="27">
        <v>1.0616892284391539E-12</v>
      </c>
      <c r="BF38" s="27">
        <v>7897.1196528286691</v>
      </c>
      <c r="BG38" s="27">
        <v>178.2755098316708</v>
      </c>
      <c r="BH38" s="27">
        <v>415.89420881830421</v>
      </c>
      <c r="BI38" s="27">
        <v>415.89420881830421</v>
      </c>
      <c r="BJ38" s="27">
        <f t="shared" si="72"/>
        <v>8999.6045155899064</v>
      </c>
      <c r="BK38" s="2">
        <f t="shared" si="74"/>
        <v>8999.6045155899064</v>
      </c>
      <c r="BL38" s="2"/>
      <c r="BM38" s="2"/>
      <c r="BN38" s="2"/>
      <c r="BO38" s="2"/>
      <c r="BP38" s="4" t="s">
        <v>135</v>
      </c>
      <c r="BQ38" s="52">
        <v>0</v>
      </c>
      <c r="BR38" s="52">
        <v>1.8290751405627879E-3</v>
      </c>
      <c r="BS38" s="52">
        <v>0.30112536745928292</v>
      </c>
      <c r="BT38" s="52">
        <v>2.3871474896084741E-2</v>
      </c>
      <c r="BU38" s="52">
        <v>0</v>
      </c>
      <c r="BV38" s="52">
        <v>0.16615855723240475</v>
      </c>
      <c r="BW38" s="52">
        <v>0</v>
      </c>
      <c r="BX38" s="52">
        <v>1.1105155004241416</v>
      </c>
      <c r="BY38" s="52">
        <v>0.21798376705672676</v>
      </c>
      <c r="BZ38" s="52">
        <f t="shared" si="60"/>
        <v>1.8214837422092036</v>
      </c>
      <c r="CA38" s="52">
        <f t="shared" si="61"/>
        <v>0.71096824178506202</v>
      </c>
      <c r="CB38" s="52">
        <v>0</v>
      </c>
      <c r="CC38" s="4" t="s">
        <v>135</v>
      </c>
      <c r="CD38" s="52">
        <v>0</v>
      </c>
      <c r="CE38" s="52">
        <v>6.5739289788674425E-4</v>
      </c>
      <c r="CF38" s="52">
        <v>0.19677871226851951</v>
      </c>
      <c r="CG38" s="52">
        <v>1.5599476489263265E-2</v>
      </c>
      <c r="CH38" s="52">
        <v>2.4796596249621679E-4</v>
      </c>
      <c r="CI38" s="52">
        <v>0.10858091166633045</v>
      </c>
      <c r="CJ38" s="52"/>
      <c r="CK38" s="52">
        <v>0.19926491183352696</v>
      </c>
      <c r="CL38" s="52">
        <v>2.7202567511456607E-2</v>
      </c>
      <c r="CM38" s="52"/>
      <c r="CN38" s="52">
        <f t="shared" si="62"/>
        <v>0.54833193862947971</v>
      </c>
      <c r="CO38" s="52">
        <f>SUM(CD38:CJ38,CL38)</f>
        <v>0.34906702679595281</v>
      </c>
      <c r="CP38" s="52">
        <v>0</v>
      </c>
      <c r="CQ38" s="4" t="s">
        <v>135</v>
      </c>
      <c r="CR38" s="52">
        <v>0</v>
      </c>
      <c r="CS38" s="52">
        <v>0</v>
      </c>
      <c r="CT38" s="52">
        <v>0</v>
      </c>
      <c r="CU38" s="52">
        <v>8.0049046524940572E-3</v>
      </c>
      <c r="CV38" s="52">
        <v>7.4681337339988454E-2</v>
      </c>
      <c r="CW38" s="52">
        <v>5.5718526552355131E-2</v>
      </c>
      <c r="CX38" s="52"/>
      <c r="CY38" s="52">
        <v>2.4333873616023578E-2</v>
      </c>
      <c r="CZ38" s="52">
        <v>2.8300984265924079E-2</v>
      </c>
      <c r="DA38" s="52"/>
      <c r="DB38" s="52">
        <f t="shared" si="64"/>
        <v>0.19103962642678529</v>
      </c>
      <c r="DC38" s="52">
        <f t="shared" si="65"/>
        <v>0.16670575281076172</v>
      </c>
      <c r="DD38" s="28">
        <v>0</v>
      </c>
      <c r="DE38" s="54">
        <f t="shared" si="66"/>
        <v>0.16670575281076172</v>
      </c>
      <c r="DF38" s="54">
        <f t="shared" si="67"/>
        <v>0</v>
      </c>
      <c r="DG38" s="52">
        <v>0</v>
      </c>
      <c r="DI38" s="4" t="s">
        <v>135</v>
      </c>
      <c r="DJ38" s="52">
        <v>0</v>
      </c>
      <c r="DK38" s="52">
        <v>0</v>
      </c>
      <c r="DL38" s="52">
        <v>0</v>
      </c>
      <c r="DM38" s="52">
        <v>0</v>
      </c>
      <c r="DN38" s="52">
        <v>1.0526072077517736E-2</v>
      </c>
      <c r="DO38" s="52">
        <v>7.1964339882043824E-3</v>
      </c>
      <c r="DP38" s="52"/>
      <c r="DQ38" s="52">
        <v>0</v>
      </c>
      <c r="DR38" s="52">
        <v>0</v>
      </c>
      <c r="DS38" s="52"/>
      <c r="DT38" s="52">
        <f t="shared" si="68"/>
        <v>1.7722506065722118E-2</v>
      </c>
      <c r="DU38" s="52">
        <f t="shared" si="69"/>
        <v>1.7722506065722118E-2</v>
      </c>
      <c r="DV38" s="28">
        <v>0</v>
      </c>
      <c r="DW38" s="54">
        <f t="shared" si="70"/>
        <v>1.7722506065722118E-2</v>
      </c>
      <c r="DX38" s="54">
        <f t="shared" si="71"/>
        <v>0</v>
      </c>
      <c r="DY38" s="52">
        <v>0</v>
      </c>
    </row>
    <row r="39" spans="1:129" s="4" customFormat="1">
      <c r="A39" s="23"/>
      <c r="B39" s="16"/>
      <c r="C39" s="16"/>
      <c r="D39" s="16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2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2"/>
      <c r="AG39" s="9"/>
      <c r="AH39" s="9"/>
      <c r="AI39" s="9"/>
      <c r="AJ39" s="9"/>
      <c r="AK39" s="9"/>
      <c r="AL39" s="9"/>
      <c r="AM39" s="9"/>
      <c r="AN39" s="2">
        <f>AN40*0.000277778</f>
        <v>288.30591280477898</v>
      </c>
      <c r="AO39" s="9"/>
      <c r="AP39" s="9"/>
      <c r="AQ39" s="9"/>
      <c r="AR39" s="9"/>
      <c r="AS39" s="9"/>
      <c r="AT39" s="9"/>
      <c r="AU39" s="9"/>
      <c r="AV39" s="9"/>
      <c r="AW39" s="9"/>
      <c r="AX39" s="2"/>
      <c r="AY39" s="9"/>
      <c r="AZ39" s="9"/>
      <c r="BA39" s="9"/>
      <c r="BB39" s="9"/>
      <c r="BC39" s="9"/>
      <c r="BD39" s="9"/>
      <c r="BE39" s="9"/>
      <c r="BF39" s="2">
        <f>BF40*0.000277778</f>
        <v>255.378650628754</v>
      </c>
      <c r="BG39" s="9"/>
      <c r="BH39" s="9"/>
      <c r="BI39" s="9"/>
      <c r="BJ39" s="9"/>
      <c r="BK39" s="9"/>
      <c r="BL39" s="9"/>
      <c r="BM39" s="9"/>
      <c r="BN39" s="9"/>
      <c r="BO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G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Y39" s="9"/>
    </row>
    <row r="40" spans="1:129" s="4" customFormat="1">
      <c r="A40" s="30" t="s">
        <v>136</v>
      </c>
      <c r="B40" s="31" t="s">
        <v>137</v>
      </c>
      <c r="C40" s="85" t="s">
        <v>138</v>
      </c>
      <c r="D40" s="85" t="s">
        <v>335</v>
      </c>
      <c r="E40" s="18">
        <v>400.99920518302736</v>
      </c>
      <c r="F40" s="18">
        <v>4051.4669263421033</v>
      </c>
      <c r="G40" s="18">
        <v>470474.91645181581</v>
      </c>
      <c r="H40" s="18">
        <v>35329.876556111456</v>
      </c>
      <c r="I40" s="18">
        <v>0</v>
      </c>
      <c r="J40" s="18">
        <v>403373.5930993717</v>
      </c>
      <c r="K40" s="18">
        <v>4500.5736676198503</v>
      </c>
      <c r="L40" s="18">
        <v>1145613.1682355732</v>
      </c>
      <c r="M40" s="18">
        <v>65365.528467508455</v>
      </c>
      <c r="N40" s="93">
        <v>2099444.9372750195</v>
      </c>
      <c r="O40" s="18">
        <v>2099444.9372750195</v>
      </c>
      <c r="P40" s="18">
        <v>29665.185334506659</v>
      </c>
      <c r="Q40" s="18">
        <v>505804.79300792725</v>
      </c>
      <c r="R40" s="2" t="s">
        <v>139</v>
      </c>
      <c r="S40" s="18">
        <f t="shared" ref="S40:BO40" si="76">SUM(S41:S57)</f>
        <v>0</v>
      </c>
      <c r="T40" s="18">
        <f t="shared" si="76"/>
        <v>1066.5626451279472</v>
      </c>
      <c r="U40" s="18">
        <f t="shared" si="76"/>
        <v>194639.98104988143</v>
      </c>
      <c r="V40" s="18">
        <f t="shared" si="76"/>
        <v>31717.488865796491</v>
      </c>
      <c r="W40" s="18">
        <f t="shared" si="76"/>
        <v>0</v>
      </c>
      <c r="X40" s="18">
        <f t="shared" si="76"/>
        <v>293545.70366964873</v>
      </c>
      <c r="Y40" s="18">
        <f t="shared" si="76"/>
        <v>0</v>
      </c>
      <c r="Z40" s="18">
        <f t="shared" si="76"/>
        <v>1089703.6370545463</v>
      </c>
      <c r="AA40" s="18">
        <f t="shared" si="76"/>
        <v>0</v>
      </c>
      <c r="AB40" s="18">
        <f t="shared" si="76"/>
        <v>0</v>
      </c>
      <c r="AC40" s="18">
        <f t="shared" si="76"/>
        <v>1610673.3732850007</v>
      </c>
      <c r="AD40" s="18">
        <f t="shared" si="76"/>
        <v>1610673.3732850007</v>
      </c>
      <c r="AE40" s="18">
        <f t="shared" si="76"/>
        <v>5752.5952525576904</v>
      </c>
      <c r="AF40" s="2" t="s">
        <v>139</v>
      </c>
      <c r="AG40" s="18">
        <f t="shared" ref="AG40:AW40" si="77">SUM(AG41:AG57)</f>
        <v>0</v>
      </c>
      <c r="AH40" s="18">
        <f t="shared" si="77"/>
        <v>262.1474782137692</v>
      </c>
      <c r="AI40" s="18">
        <f t="shared" si="77"/>
        <v>50956.976707812973</v>
      </c>
      <c r="AJ40" s="18">
        <f t="shared" si="77"/>
        <v>22487.461363037626</v>
      </c>
      <c r="AK40" s="18">
        <f t="shared" si="77"/>
        <v>0</v>
      </c>
      <c r="AL40" s="18">
        <f t="shared" si="77"/>
        <v>200955.60317826</v>
      </c>
      <c r="AM40" s="18">
        <f t="shared" si="77"/>
        <v>0</v>
      </c>
      <c r="AN40" s="18">
        <f>SUM(AN41:AN57)</f>
        <v>1037900.4557768397</v>
      </c>
      <c r="AO40" s="18">
        <f t="shared" si="77"/>
        <v>0</v>
      </c>
      <c r="AP40" s="18">
        <f t="shared" si="77"/>
        <v>0</v>
      </c>
      <c r="AQ40" s="18">
        <f t="shared" si="77"/>
        <v>0</v>
      </c>
      <c r="AR40" s="18">
        <f t="shared" si="77"/>
        <v>1312562.6445041641</v>
      </c>
      <c r="AS40" s="18">
        <f t="shared" si="77"/>
        <v>1312562.6445041641</v>
      </c>
      <c r="AT40" s="18">
        <f t="shared" si="77"/>
        <v>0</v>
      </c>
      <c r="AU40" s="18">
        <f t="shared" si="77"/>
        <v>0</v>
      </c>
      <c r="AV40" s="18">
        <f t="shared" si="77"/>
        <v>0</v>
      </c>
      <c r="AW40" s="18">
        <f t="shared" si="77"/>
        <v>0</v>
      </c>
      <c r="AX40" s="2" t="s">
        <v>139</v>
      </c>
      <c r="AY40" s="18">
        <f t="shared" si="76"/>
        <v>0</v>
      </c>
      <c r="AZ40" s="18">
        <f t="shared" si="76"/>
        <v>0</v>
      </c>
      <c r="BA40" s="18">
        <f t="shared" si="76"/>
        <v>0</v>
      </c>
      <c r="BB40" s="18">
        <f t="shared" si="76"/>
        <v>12760.961786238882</v>
      </c>
      <c r="BC40" s="18">
        <f t="shared" si="76"/>
        <v>0</v>
      </c>
      <c r="BD40" s="18">
        <f t="shared" si="76"/>
        <v>109702.96779165705</v>
      </c>
      <c r="BE40" s="18">
        <f t="shared" si="76"/>
        <v>0</v>
      </c>
      <c r="BF40" s="18">
        <f t="shared" si="76"/>
        <v>919362.40677358897</v>
      </c>
      <c r="BG40" s="18">
        <f t="shared" si="76"/>
        <v>0</v>
      </c>
      <c r="BH40" s="18">
        <f t="shared" si="76"/>
        <v>0</v>
      </c>
      <c r="BI40" s="18">
        <f t="shared" si="76"/>
        <v>0</v>
      </c>
      <c r="BJ40" s="18">
        <f t="shared" si="76"/>
        <v>1041826.3363514849</v>
      </c>
      <c r="BK40" s="18">
        <f t="shared" si="76"/>
        <v>1041826.3363514849</v>
      </c>
      <c r="BL40" s="18">
        <f t="shared" si="76"/>
        <v>0</v>
      </c>
      <c r="BM40" s="18">
        <f t="shared" si="76"/>
        <v>0</v>
      </c>
      <c r="BN40" s="18">
        <f t="shared" si="76"/>
        <v>0</v>
      </c>
      <c r="BO40" s="18">
        <f t="shared" si="76"/>
        <v>0</v>
      </c>
      <c r="BP40" s="4" t="s">
        <v>139</v>
      </c>
      <c r="BQ40" s="53">
        <f t="shared" ref="BQ40:CB40" si="78">SUM(BQ41:BQ57)</f>
        <v>0.16060931561463043</v>
      </c>
      <c r="BR40" s="53">
        <f t="shared" si="78"/>
        <v>0.37013348796337686</v>
      </c>
      <c r="BS40" s="53">
        <f t="shared" si="78"/>
        <v>35.823902512350941</v>
      </c>
      <c r="BT40" s="53">
        <f t="shared" si="78"/>
        <v>2.2923248090016011</v>
      </c>
      <c r="BU40" s="53">
        <f t="shared" si="78"/>
        <v>0</v>
      </c>
      <c r="BV40" s="53">
        <f t="shared" si="78"/>
        <v>25.643379328264992</v>
      </c>
      <c r="BW40" s="53">
        <f t="shared" si="78"/>
        <v>0</v>
      </c>
      <c r="BX40" s="53">
        <f t="shared" si="78"/>
        <v>157.06253959612442</v>
      </c>
      <c r="BY40" s="53">
        <f t="shared" si="78"/>
        <v>4.263269486230806</v>
      </c>
      <c r="BZ40" s="53">
        <f t="shared" si="78"/>
        <v>225.6161585355508</v>
      </c>
      <c r="CA40" s="53">
        <f t="shared" si="78"/>
        <v>68.553618939426343</v>
      </c>
      <c r="CB40" s="53">
        <f t="shared" si="78"/>
        <v>2.1825209714000184</v>
      </c>
      <c r="CC40" s="4" t="s">
        <v>139</v>
      </c>
      <c r="CD40" s="53">
        <f t="shared" ref="CD40:CP40" si="79">SUM(CD41:CD57)</f>
        <v>0</v>
      </c>
      <c r="CE40" s="53">
        <f t="shared" si="79"/>
        <v>0.18011849854039591</v>
      </c>
      <c r="CF40" s="53">
        <f t="shared" si="79"/>
        <v>18.876897767847595</v>
      </c>
      <c r="CG40" s="53">
        <f t="shared" si="79"/>
        <v>2.1495975676693937</v>
      </c>
      <c r="CH40" s="53">
        <f t="shared" si="79"/>
        <v>0</v>
      </c>
      <c r="CI40" s="53">
        <f t="shared" si="79"/>
        <v>19.619219041351005</v>
      </c>
      <c r="CJ40" s="53">
        <f t="shared" si="79"/>
        <v>0</v>
      </c>
      <c r="CK40" s="53">
        <f t="shared" si="79"/>
        <v>43.471994119737467</v>
      </c>
      <c r="CL40" s="53">
        <f t="shared" si="79"/>
        <v>0</v>
      </c>
      <c r="CM40" s="53">
        <f t="shared" si="79"/>
        <v>0</v>
      </c>
      <c r="CN40" s="53">
        <f t="shared" si="79"/>
        <v>84.297826995145854</v>
      </c>
      <c r="CO40" s="53">
        <f t="shared" si="79"/>
        <v>40.825832875408381</v>
      </c>
      <c r="CP40" s="53">
        <f t="shared" si="79"/>
        <v>0.42322876587860503</v>
      </c>
      <c r="CQ40" s="4" t="s">
        <v>139</v>
      </c>
      <c r="CR40" s="53">
        <f t="shared" ref="CR40:CW40" si="80">SUM(CR41:CR57)</f>
        <v>0</v>
      </c>
      <c r="CS40" s="53">
        <f t="shared" si="80"/>
        <v>4.495237596389462E-2</v>
      </c>
      <c r="CT40" s="53">
        <f t="shared" si="80"/>
        <v>4.8607827321701018</v>
      </c>
      <c r="CU40" s="53">
        <f t="shared" si="80"/>
        <v>1.5080360725805011</v>
      </c>
      <c r="CV40" s="53">
        <f t="shared" si="80"/>
        <v>0</v>
      </c>
      <c r="CW40" s="53">
        <f t="shared" si="80"/>
        <v>13.409766232178681</v>
      </c>
      <c r="CX40" s="53"/>
      <c r="CY40" s="53">
        <f t="shared" ref="CY40" si="81">SUM(CY41:CY57)</f>
        <v>3.8737388754339515</v>
      </c>
      <c r="CZ40" s="53">
        <f>SUM(CZ41:CZ57)</f>
        <v>0</v>
      </c>
      <c r="DA40" s="53"/>
      <c r="DB40" s="53">
        <f>SUM(DB41:DB57)</f>
        <v>23.697276288327132</v>
      </c>
      <c r="DC40" s="53">
        <f>SUM(DC41:DC57)</f>
        <v>19.823537412893177</v>
      </c>
      <c r="DE40" s="53">
        <f>SUM(DE41:DE57)</f>
        <v>19.823537412893177</v>
      </c>
      <c r="DF40" s="53">
        <f>SUM(DF41:DF57)</f>
        <v>0</v>
      </c>
      <c r="DG40" s="53">
        <f t="shared" ref="DG40" si="82">SUM(DG41:DG57)</f>
        <v>0</v>
      </c>
      <c r="DH40" s="9"/>
      <c r="DI40" s="4" t="s">
        <v>139</v>
      </c>
      <c r="DJ40" s="53">
        <f t="shared" ref="DJ40:DO40" si="83">SUM(DJ41:DJ57)</f>
        <v>0</v>
      </c>
      <c r="DK40" s="53">
        <f t="shared" si="83"/>
        <v>0</v>
      </c>
      <c r="DL40" s="53">
        <f t="shared" si="83"/>
        <v>0</v>
      </c>
      <c r="DM40" s="53">
        <f t="shared" si="83"/>
        <v>0.81804473371747433</v>
      </c>
      <c r="DN40" s="53">
        <f t="shared" si="83"/>
        <v>0</v>
      </c>
      <c r="DO40" s="53">
        <f t="shared" si="83"/>
        <v>7.143040761606847</v>
      </c>
      <c r="DP40" s="53"/>
      <c r="DQ40" s="53">
        <f t="shared" ref="DQ40" si="84">SUM(DQ41:DQ57)</f>
        <v>0</v>
      </c>
      <c r="DR40" s="53">
        <f>SUM(DR41:DR57)</f>
        <v>0</v>
      </c>
      <c r="DS40" s="53"/>
      <c r="DT40" s="53">
        <f>SUM(DT41:DT57)</f>
        <v>7.9610854953243209</v>
      </c>
      <c r="DU40" s="53">
        <f>SUM(DU41:DU57)</f>
        <v>7.9610854953243209</v>
      </c>
      <c r="DW40" s="53">
        <f>SUM(DW41:DW57)</f>
        <v>7.9610854953243209</v>
      </c>
      <c r="DX40" s="53">
        <f>SUM(DX41:DX57)</f>
        <v>0</v>
      </c>
      <c r="DY40" s="53">
        <f t="shared" ref="DY40" si="85">SUM(DY41:DY57)</f>
        <v>0</v>
      </c>
    </row>
    <row r="41" spans="1:129" s="4" customFormat="1">
      <c r="A41" s="30" t="s">
        <v>140</v>
      </c>
      <c r="B41" s="32" t="s">
        <v>141</v>
      </c>
      <c r="C41" s="31" t="s">
        <v>142</v>
      </c>
      <c r="D41" s="85" t="s">
        <v>336</v>
      </c>
      <c r="E41" s="33">
        <v>395.78440613494342</v>
      </c>
      <c r="F41" s="33">
        <v>52.500909932526312</v>
      </c>
      <c r="G41" s="33">
        <v>2305.5494457387363</v>
      </c>
      <c r="H41" s="33">
        <v>40.711022389962373</v>
      </c>
      <c r="I41" s="33">
        <v>0</v>
      </c>
      <c r="J41" s="33">
        <v>17527.429596126927</v>
      </c>
      <c r="K41" s="33">
        <v>0</v>
      </c>
      <c r="L41" s="33">
        <v>65059.465667635573</v>
      </c>
      <c r="M41" s="33">
        <v>4043.6601744075706</v>
      </c>
      <c r="N41" s="33">
        <v>89425.10122236624</v>
      </c>
      <c r="O41" s="2">
        <v>89425.10122236624</v>
      </c>
      <c r="P41" s="2">
        <v>0</v>
      </c>
      <c r="Q41" s="2">
        <v>2346.2604681286984</v>
      </c>
      <c r="R41" s="2" t="s">
        <v>143</v>
      </c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>
        <f t="shared" ref="AC41:AC57" si="86">SUM(S41:AB41)</f>
        <v>0</v>
      </c>
      <c r="AD41" s="2">
        <f t="shared" ref="AD41:AD56" si="87">AC41</f>
        <v>0</v>
      </c>
      <c r="AE41" s="2">
        <f t="shared" ref="AE41:AE57" si="88">AC41*P41/N41</f>
        <v>0</v>
      </c>
      <c r="AF41" s="2" t="s">
        <v>143</v>
      </c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>
        <f t="shared" ref="AR41:AR57" si="89">SUM(AG41:AQ41)</f>
        <v>0</v>
      </c>
      <c r="AS41" s="2">
        <f t="shared" ref="AS41:AS57" si="90">AR41-AT41</f>
        <v>0</v>
      </c>
      <c r="AT41" s="2"/>
      <c r="AU41" s="2"/>
      <c r="AV41" s="2"/>
      <c r="AW41" s="2"/>
      <c r="AX41" s="2" t="s">
        <v>143</v>
      </c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>
        <f t="shared" ref="BJ41:BJ57" si="91">SUM(AY41:BI41)</f>
        <v>0</v>
      </c>
      <c r="BK41" s="2">
        <f t="shared" ref="BK41:BK57" si="92">BJ41-BL41</f>
        <v>0</v>
      </c>
      <c r="BL41" s="2"/>
      <c r="BM41" s="2"/>
      <c r="BN41" s="2"/>
      <c r="BO41" s="2"/>
      <c r="BP41" s="4" t="s">
        <v>143</v>
      </c>
      <c r="BQ41" s="52">
        <v>0.16024598983303909</v>
      </c>
      <c r="BR41" s="52">
        <v>2.6316217483582014E-2</v>
      </c>
      <c r="BS41" s="52">
        <v>0.73172850609997087</v>
      </c>
      <c r="BT41" s="52">
        <v>1.1060415257307131E-2</v>
      </c>
      <c r="BU41" s="52">
        <v>0</v>
      </c>
      <c r="BV41" s="52">
        <v>4.0770942220332191</v>
      </c>
      <c r="BW41" s="52">
        <v>0</v>
      </c>
      <c r="BX41" s="52">
        <v>9.3076938933886666</v>
      </c>
      <c r="BY41" s="52">
        <v>0.83802292209574569</v>
      </c>
      <c r="BZ41" s="52">
        <f t="shared" ref="BZ41:BZ52" si="93">SUM(BQ41:BY41)</f>
        <v>15.15216216619153</v>
      </c>
      <c r="CA41" s="52">
        <f t="shared" ref="CA41:CA57" si="94">BZ41-BX41</f>
        <v>5.8444682728028639</v>
      </c>
      <c r="CB41" s="52">
        <v>0</v>
      </c>
      <c r="CC41" s="4" t="s">
        <v>143</v>
      </c>
      <c r="CD41" s="52">
        <v>0</v>
      </c>
      <c r="CE41" s="52">
        <v>0</v>
      </c>
      <c r="CF41" s="52">
        <v>0</v>
      </c>
      <c r="CG41" s="52">
        <v>0</v>
      </c>
      <c r="CH41" s="52">
        <v>0</v>
      </c>
      <c r="CI41" s="52">
        <v>0</v>
      </c>
      <c r="CJ41" s="52"/>
      <c r="CK41" s="52">
        <v>0</v>
      </c>
      <c r="CL41" s="52">
        <v>0</v>
      </c>
      <c r="CM41" s="52"/>
      <c r="CN41" s="52">
        <f t="shared" ref="CN41:CN57" si="95">SUM(CD41:CM41)</f>
        <v>0</v>
      </c>
      <c r="CO41" s="52">
        <f t="shared" ref="CO41:CO57" si="96">SUM(CD41:CJ41,CL41)</f>
        <v>0</v>
      </c>
      <c r="CP41" s="52">
        <v>0</v>
      </c>
      <c r="CQ41" s="4" t="s">
        <v>143</v>
      </c>
      <c r="CR41" s="52">
        <v>0</v>
      </c>
      <c r="CS41" s="52">
        <v>0</v>
      </c>
      <c r="CT41" s="52">
        <v>0</v>
      </c>
      <c r="CU41" s="52">
        <v>0</v>
      </c>
      <c r="CV41" s="52">
        <v>0</v>
      </c>
      <c r="CW41" s="52">
        <v>0</v>
      </c>
      <c r="CX41" s="52"/>
      <c r="CY41" s="52">
        <v>0</v>
      </c>
      <c r="CZ41" s="52">
        <v>0</v>
      </c>
      <c r="DA41" s="52"/>
      <c r="DB41" s="52">
        <f t="shared" ref="DB41:DB52" si="97">SUM(CR41:DA41)</f>
        <v>0</v>
      </c>
      <c r="DC41" s="52">
        <f t="shared" ref="DC41:DC59" si="98">SUM(CR41:CX41,CZ41)</f>
        <v>0</v>
      </c>
      <c r="DE41" s="55">
        <f t="shared" ref="DE41:DE57" si="99">DC41*(1-DD41)</f>
        <v>0</v>
      </c>
      <c r="DF41" s="55">
        <f t="shared" ref="DF41:DF57" si="100">DC41*DD41</f>
        <v>0</v>
      </c>
      <c r="DG41" s="56">
        <v>0</v>
      </c>
      <c r="DI41" s="4" t="s">
        <v>143</v>
      </c>
      <c r="DJ41" s="52">
        <v>0</v>
      </c>
      <c r="DK41" s="52">
        <v>0</v>
      </c>
      <c r="DL41" s="52">
        <v>0</v>
      </c>
      <c r="DM41" s="52">
        <v>0</v>
      </c>
      <c r="DN41" s="52">
        <v>0</v>
      </c>
      <c r="DO41" s="52">
        <v>0</v>
      </c>
      <c r="DP41" s="52"/>
      <c r="DQ41" s="52">
        <v>0</v>
      </c>
      <c r="DR41" s="52">
        <v>0</v>
      </c>
      <c r="DS41" s="52"/>
      <c r="DT41" s="52">
        <f t="shared" ref="DT41:DT52" si="101">SUM(DJ41:DS41)</f>
        <v>0</v>
      </c>
      <c r="DU41" s="52">
        <f t="shared" ref="DU41:DU57" si="102">DT41-DQ41</f>
        <v>0</v>
      </c>
      <c r="DW41" s="54">
        <f t="shared" ref="DW41:DW57" si="103">DU41*(1-DV41)</f>
        <v>0</v>
      </c>
      <c r="DX41" s="54">
        <f t="shared" ref="DX41:DX57" si="104">DU41*DV41</f>
        <v>0</v>
      </c>
      <c r="DY41" s="52">
        <v>0</v>
      </c>
    </row>
    <row r="42" spans="1:129" s="4" customFormat="1">
      <c r="A42" s="30" t="s">
        <v>144</v>
      </c>
      <c r="B42" s="31" t="s">
        <v>145</v>
      </c>
      <c r="C42" s="34" t="s">
        <v>146</v>
      </c>
      <c r="D42" s="85" t="s">
        <v>337</v>
      </c>
      <c r="E42" s="33">
        <v>0</v>
      </c>
      <c r="F42" s="33">
        <v>0</v>
      </c>
      <c r="G42" s="33">
        <v>824.36481199217587</v>
      </c>
      <c r="H42" s="33">
        <v>263.28775030973429</v>
      </c>
      <c r="I42" s="33">
        <v>0</v>
      </c>
      <c r="J42" s="33">
        <v>4175.5388826067538</v>
      </c>
      <c r="K42" s="33">
        <v>0</v>
      </c>
      <c r="L42" s="33">
        <v>47489.384038142096</v>
      </c>
      <c r="M42" s="33">
        <v>1729.3913543958274</v>
      </c>
      <c r="N42" s="33">
        <v>54481.966837446584</v>
      </c>
      <c r="O42" s="2">
        <v>54481.966837446591</v>
      </c>
      <c r="P42" s="2">
        <v>0</v>
      </c>
      <c r="Q42" s="2">
        <v>1087.6525623019102</v>
      </c>
      <c r="R42" s="2" t="s">
        <v>147</v>
      </c>
      <c r="S42" s="33"/>
      <c r="T42" s="33">
        <v>171.22362679183209</v>
      </c>
      <c r="U42" s="33">
        <v>17355.384663402205</v>
      </c>
      <c r="V42" s="33">
        <v>1150.1974259332428</v>
      </c>
      <c r="W42" s="33"/>
      <c r="X42" s="33">
        <v>18241.236324168218</v>
      </c>
      <c r="Y42" s="33"/>
      <c r="Z42" s="33">
        <v>85975.534286033988</v>
      </c>
      <c r="AA42" s="33"/>
      <c r="AB42" s="33"/>
      <c r="AC42" s="33">
        <f t="shared" si="86"/>
        <v>122893.57632632948</v>
      </c>
      <c r="AD42" s="2">
        <f t="shared" si="87"/>
        <v>122893.57632632948</v>
      </c>
      <c r="AE42" s="2">
        <f t="shared" si="88"/>
        <v>0</v>
      </c>
      <c r="AF42" s="2" t="s">
        <v>147</v>
      </c>
      <c r="AG42" s="33"/>
      <c r="AH42" s="33">
        <v>43.894947760657189</v>
      </c>
      <c r="AI42" s="33">
        <v>4392.7461089937769</v>
      </c>
      <c r="AJ42" s="33">
        <v>845.84061231993655</v>
      </c>
      <c r="AK42" s="33"/>
      <c r="AL42" s="33">
        <v>13414.37404921007</v>
      </c>
      <c r="AM42" s="33"/>
      <c r="AN42" s="33">
        <v>85818.091661298546</v>
      </c>
      <c r="AO42" s="33"/>
      <c r="AP42" s="33"/>
      <c r="AQ42" s="33"/>
      <c r="AR42" s="33">
        <f t="shared" si="89"/>
        <v>104514.94737958298</v>
      </c>
      <c r="AS42" s="2">
        <f t="shared" si="90"/>
        <v>104514.94737958298</v>
      </c>
      <c r="AT42" s="2"/>
      <c r="AU42" s="2"/>
      <c r="AV42" s="2"/>
      <c r="AW42" s="2"/>
      <c r="AX42" s="2" t="s">
        <v>147</v>
      </c>
      <c r="AY42" s="33"/>
      <c r="AZ42" s="33">
        <v>0</v>
      </c>
      <c r="BA42" s="33">
        <v>0</v>
      </c>
      <c r="BB42" s="33">
        <v>382.64657808701537</v>
      </c>
      <c r="BC42" s="33"/>
      <c r="BD42" s="33">
        <v>6068.4770302421548</v>
      </c>
      <c r="BE42" s="33"/>
      <c r="BF42" s="33">
        <v>80818.10536497306</v>
      </c>
      <c r="BG42" s="33"/>
      <c r="BH42" s="33"/>
      <c r="BI42" s="33"/>
      <c r="BJ42" s="33">
        <f t="shared" si="91"/>
        <v>87269.228973302233</v>
      </c>
      <c r="BK42" s="2">
        <f t="shared" si="92"/>
        <v>87269.228973302233</v>
      </c>
      <c r="BL42" s="2"/>
      <c r="BM42" s="2"/>
      <c r="BN42" s="2"/>
      <c r="BO42" s="2"/>
      <c r="BP42" s="4" t="s">
        <v>147</v>
      </c>
      <c r="BQ42" s="52">
        <v>0</v>
      </c>
      <c r="BR42" s="52">
        <v>0</v>
      </c>
      <c r="BS42" s="52">
        <v>0.2582179309376626</v>
      </c>
      <c r="BT42" s="52">
        <v>7.153192875870476E-2</v>
      </c>
      <c r="BU42" s="52">
        <v>0</v>
      </c>
      <c r="BV42" s="52">
        <v>0.97136143311930268</v>
      </c>
      <c r="BW42" s="52">
        <v>0</v>
      </c>
      <c r="BX42" s="52">
        <v>6.4857651848823652</v>
      </c>
      <c r="BY42" s="52">
        <v>0.41610238347598544</v>
      </c>
      <c r="BZ42" s="52">
        <f t="shared" si="93"/>
        <v>8.2029788611740209</v>
      </c>
      <c r="CA42" s="52">
        <f t="shared" si="94"/>
        <v>1.7172136762916557</v>
      </c>
      <c r="CB42" s="52">
        <v>0</v>
      </c>
      <c r="CC42" s="4" t="s">
        <v>147</v>
      </c>
      <c r="CD42" s="52">
        <v>0</v>
      </c>
      <c r="CE42" s="52">
        <v>7.5147565987138967E-2</v>
      </c>
      <c r="CF42" s="52">
        <v>5.4362722100922154</v>
      </c>
      <c r="CG42" s="52">
        <v>0.31249399272663542</v>
      </c>
      <c r="CH42" s="52">
        <v>0</v>
      </c>
      <c r="CI42" s="52">
        <v>4.2434842437990188</v>
      </c>
      <c r="CJ42" s="52"/>
      <c r="CK42" s="52">
        <v>3.4298572509368164</v>
      </c>
      <c r="CL42" s="52">
        <v>0</v>
      </c>
      <c r="CM42" s="52"/>
      <c r="CN42" s="52">
        <f t="shared" si="95"/>
        <v>13.497255263541824</v>
      </c>
      <c r="CO42" s="52">
        <f t="shared" si="96"/>
        <v>10.067398012605008</v>
      </c>
      <c r="CP42" s="52">
        <v>0</v>
      </c>
      <c r="CQ42" s="4" t="s">
        <v>147</v>
      </c>
      <c r="CR42" s="52">
        <v>0</v>
      </c>
      <c r="CS42" s="52">
        <v>1.9264855821307467E-2</v>
      </c>
      <c r="CT42" s="52">
        <v>1.3759512716920854</v>
      </c>
      <c r="CU42" s="52">
        <v>0.22980412248769908</v>
      </c>
      <c r="CV42" s="52">
        <v>0</v>
      </c>
      <c r="CW42" s="52">
        <v>3.1206045416356964</v>
      </c>
      <c r="CX42" s="52"/>
      <c r="CY42" s="52">
        <v>0.32029745823274219</v>
      </c>
      <c r="CZ42" s="52">
        <v>0</v>
      </c>
      <c r="DA42" s="52"/>
      <c r="DB42" s="52">
        <f t="shared" si="97"/>
        <v>5.0659222498695309</v>
      </c>
      <c r="DC42" s="52">
        <f t="shared" si="98"/>
        <v>4.7456247916367884</v>
      </c>
      <c r="DE42" s="55">
        <f t="shared" si="99"/>
        <v>4.7456247916367884</v>
      </c>
      <c r="DF42" s="55">
        <f t="shared" si="100"/>
        <v>0</v>
      </c>
      <c r="DG42" s="56">
        <v>0</v>
      </c>
      <c r="DI42" s="4" t="s">
        <v>147</v>
      </c>
      <c r="DJ42" s="52">
        <v>0</v>
      </c>
      <c r="DK42" s="52">
        <v>0</v>
      </c>
      <c r="DL42" s="52">
        <v>0</v>
      </c>
      <c r="DM42" s="52">
        <v>0.10396020221708947</v>
      </c>
      <c r="DN42" s="52">
        <v>0</v>
      </c>
      <c r="DO42" s="52">
        <v>1.4117182741374898</v>
      </c>
      <c r="DP42" s="52"/>
      <c r="DQ42" s="52">
        <v>0</v>
      </c>
      <c r="DR42" s="52">
        <v>0</v>
      </c>
      <c r="DS42" s="52"/>
      <c r="DT42" s="52">
        <f t="shared" si="101"/>
        <v>1.5156784763545794</v>
      </c>
      <c r="DU42" s="52">
        <f t="shared" si="102"/>
        <v>1.5156784763545794</v>
      </c>
      <c r="DW42" s="54">
        <f t="shared" si="103"/>
        <v>1.5156784763545794</v>
      </c>
      <c r="DX42" s="54">
        <f t="shared" si="104"/>
        <v>0</v>
      </c>
      <c r="DY42" s="52">
        <v>0</v>
      </c>
    </row>
    <row r="43" spans="1:129" s="4" customFormat="1">
      <c r="A43" s="30" t="s">
        <v>148</v>
      </c>
      <c r="B43" s="31" t="s">
        <v>149</v>
      </c>
      <c r="C43" s="34" t="s">
        <v>150</v>
      </c>
      <c r="D43" s="85" t="s">
        <v>338</v>
      </c>
      <c r="E43" s="33">
        <v>0</v>
      </c>
      <c r="F43" s="33">
        <v>0</v>
      </c>
      <c r="G43" s="33">
        <v>23021.806962177303</v>
      </c>
      <c r="H43" s="33">
        <v>786.83063311798594</v>
      </c>
      <c r="I43" s="33">
        <v>0</v>
      </c>
      <c r="J43" s="33">
        <v>2814.7337905826512</v>
      </c>
      <c r="K43" s="33">
        <v>0</v>
      </c>
      <c r="L43" s="33">
        <v>45675.62459940189</v>
      </c>
      <c r="M43" s="33">
        <v>2572.1449362693756</v>
      </c>
      <c r="N43" s="33">
        <v>74871.140921549202</v>
      </c>
      <c r="O43" s="2">
        <v>74871.140921549202</v>
      </c>
      <c r="P43" s="2">
        <v>0</v>
      </c>
      <c r="Q43" s="2">
        <v>23808.637595295288</v>
      </c>
      <c r="R43" s="2" t="s">
        <v>151</v>
      </c>
      <c r="S43" s="33"/>
      <c r="T43" s="33">
        <v>0</v>
      </c>
      <c r="U43" s="33">
        <v>977.42909779779131</v>
      </c>
      <c r="V43" s="33">
        <v>324.35018372378647</v>
      </c>
      <c r="W43" s="33"/>
      <c r="X43" s="33">
        <v>1160.2997947490103</v>
      </c>
      <c r="Y43" s="33"/>
      <c r="Z43" s="33">
        <v>13486.453340721142</v>
      </c>
      <c r="AA43" s="33"/>
      <c r="AB43" s="33"/>
      <c r="AC43" s="33">
        <f t="shared" si="86"/>
        <v>15948.532416991729</v>
      </c>
      <c r="AD43" s="2">
        <f t="shared" si="87"/>
        <v>15948.532416991729</v>
      </c>
      <c r="AE43" s="2">
        <f t="shared" si="88"/>
        <v>0</v>
      </c>
      <c r="AF43" s="2" t="s">
        <v>151</v>
      </c>
      <c r="AG43" s="33"/>
      <c r="AH43" s="33">
        <v>0</v>
      </c>
      <c r="AI43" s="33">
        <v>233.74560646873354</v>
      </c>
      <c r="AJ43" s="33">
        <v>206.19853605849434</v>
      </c>
      <c r="AK43" s="33"/>
      <c r="AL43" s="33">
        <v>737.63521980910036</v>
      </c>
      <c r="AM43" s="33"/>
      <c r="AN43" s="33">
        <v>11934.724029187484</v>
      </c>
      <c r="AO43" s="33"/>
      <c r="AP43" s="33"/>
      <c r="AQ43" s="33"/>
      <c r="AR43" s="33">
        <f t="shared" si="89"/>
        <v>13112.303391523812</v>
      </c>
      <c r="AS43" s="2">
        <f t="shared" si="90"/>
        <v>13112.303391523812</v>
      </c>
      <c r="AT43" s="2"/>
      <c r="AU43" s="2"/>
      <c r="AV43" s="2"/>
      <c r="AW43" s="2"/>
      <c r="AX43" s="2" t="s">
        <v>151</v>
      </c>
      <c r="AY43" s="33"/>
      <c r="AZ43" s="33">
        <v>0</v>
      </c>
      <c r="BA43" s="33">
        <v>0</v>
      </c>
      <c r="BB43" s="33">
        <v>107.68291570047779</v>
      </c>
      <c r="BC43" s="33"/>
      <c r="BD43" s="33">
        <v>385.21471932212887</v>
      </c>
      <c r="BE43" s="33"/>
      <c r="BF43" s="33">
        <v>10143.02675334816</v>
      </c>
      <c r="BG43" s="33"/>
      <c r="BH43" s="33"/>
      <c r="BI43" s="33"/>
      <c r="BJ43" s="33">
        <f t="shared" si="91"/>
        <v>10635.924388370768</v>
      </c>
      <c r="BK43" s="2">
        <f t="shared" si="92"/>
        <v>10635.924388370768</v>
      </c>
      <c r="BL43" s="2"/>
      <c r="BM43" s="2"/>
      <c r="BN43" s="2"/>
      <c r="BO43" s="2"/>
      <c r="BP43" s="4" t="s">
        <v>151</v>
      </c>
      <c r="BQ43" s="52">
        <v>0</v>
      </c>
      <c r="BR43" s="52">
        <v>0</v>
      </c>
      <c r="BS43" s="52">
        <v>7.2515645318825559</v>
      </c>
      <c r="BT43" s="52">
        <v>0.21377062834665006</v>
      </c>
      <c r="BU43" s="52">
        <v>0</v>
      </c>
      <c r="BV43" s="52">
        <v>0.65478014727611233</v>
      </c>
      <c r="BW43" s="52">
        <v>0</v>
      </c>
      <c r="BX43" s="52">
        <v>6.2695240086205004</v>
      </c>
      <c r="BY43" s="52">
        <v>0.54448005727752669</v>
      </c>
      <c r="BZ43" s="52">
        <f t="shared" si="93"/>
        <v>14.934119373403345</v>
      </c>
      <c r="CA43" s="52">
        <f t="shared" si="94"/>
        <v>8.6645953647828442</v>
      </c>
      <c r="CB43" s="52">
        <v>0</v>
      </c>
      <c r="CC43" s="4" t="s">
        <v>151</v>
      </c>
      <c r="CD43" s="52">
        <v>0</v>
      </c>
      <c r="CE43" s="52">
        <v>0</v>
      </c>
      <c r="CF43" s="52">
        <v>0.30787723090829389</v>
      </c>
      <c r="CG43" s="52">
        <v>8.8121305476153405E-2</v>
      </c>
      <c r="CH43" s="52">
        <v>0</v>
      </c>
      <c r="CI43" s="52">
        <v>0.26991585244476463</v>
      </c>
      <c r="CJ43" s="52"/>
      <c r="CK43" s="52">
        <v>0.53802061440178184</v>
      </c>
      <c r="CL43" s="52">
        <v>0</v>
      </c>
      <c r="CM43" s="52"/>
      <c r="CN43" s="52">
        <f t="shared" si="95"/>
        <v>1.2039350032309937</v>
      </c>
      <c r="CO43" s="52">
        <f t="shared" si="96"/>
        <v>0.66591438882921183</v>
      </c>
      <c r="CP43" s="52">
        <v>0</v>
      </c>
      <c r="CQ43" s="4" t="s">
        <v>151</v>
      </c>
      <c r="CR43" s="52">
        <v>0</v>
      </c>
      <c r="CS43" s="52">
        <v>0</v>
      </c>
      <c r="CT43" s="52">
        <v>7.3626772743634286E-2</v>
      </c>
      <c r="CU43" s="52">
        <v>5.6021192823556477E-2</v>
      </c>
      <c r="CV43" s="52">
        <v>0</v>
      </c>
      <c r="CW43" s="52">
        <v>0.17159310037723721</v>
      </c>
      <c r="CX43" s="52"/>
      <c r="CY43" s="52">
        <v>4.4543775062547704E-2</v>
      </c>
      <c r="CZ43" s="52">
        <v>0</v>
      </c>
      <c r="DA43" s="52"/>
      <c r="DB43" s="52">
        <f t="shared" si="97"/>
        <v>0.34578484100697571</v>
      </c>
      <c r="DC43" s="52">
        <f t="shared" si="98"/>
        <v>0.30124106594442801</v>
      </c>
      <c r="DE43" s="55">
        <f t="shared" si="99"/>
        <v>0.30124106594442801</v>
      </c>
      <c r="DF43" s="55">
        <f t="shared" si="100"/>
        <v>0</v>
      </c>
      <c r="DG43" s="56">
        <v>0</v>
      </c>
      <c r="DI43" s="4" t="s">
        <v>151</v>
      </c>
      <c r="DJ43" s="52">
        <v>0</v>
      </c>
      <c r="DK43" s="52">
        <v>0</v>
      </c>
      <c r="DL43" s="52">
        <v>0</v>
      </c>
      <c r="DM43" s="52">
        <v>2.9255907920451671E-2</v>
      </c>
      <c r="DN43" s="52">
        <v>0</v>
      </c>
      <c r="DO43" s="52">
        <v>8.961094349119883E-2</v>
      </c>
      <c r="DP43" s="52"/>
      <c r="DQ43" s="52">
        <v>0</v>
      </c>
      <c r="DR43" s="52">
        <v>0</v>
      </c>
      <c r="DS43" s="52"/>
      <c r="DT43" s="52">
        <f t="shared" si="101"/>
        <v>0.1188668514116505</v>
      </c>
      <c r="DU43" s="52">
        <f t="shared" si="102"/>
        <v>0.1188668514116505</v>
      </c>
      <c r="DW43" s="54">
        <f t="shared" si="103"/>
        <v>0.1188668514116505</v>
      </c>
      <c r="DX43" s="54">
        <f t="shared" si="104"/>
        <v>0</v>
      </c>
      <c r="DY43" s="52">
        <v>0</v>
      </c>
    </row>
    <row r="44" spans="1:129" s="4" customFormat="1">
      <c r="A44" s="30" t="s">
        <v>152</v>
      </c>
      <c r="B44" s="31" t="s">
        <v>153</v>
      </c>
      <c r="C44" s="34" t="s">
        <v>154</v>
      </c>
      <c r="D44" s="85" t="s">
        <v>339</v>
      </c>
      <c r="E44" s="33">
        <v>2.6705977026948859E-2</v>
      </c>
      <c r="F44" s="33">
        <v>1.6764143444457797</v>
      </c>
      <c r="G44" s="33">
        <v>28159.041499156163</v>
      </c>
      <c r="H44" s="33">
        <v>5480.2372501433792</v>
      </c>
      <c r="I44" s="33">
        <v>0</v>
      </c>
      <c r="J44" s="33">
        <v>24731.583082076824</v>
      </c>
      <c r="K44" s="33">
        <v>0</v>
      </c>
      <c r="L44" s="33">
        <v>306910.3087259921</v>
      </c>
      <c r="M44" s="33">
        <v>2820.7763604232564</v>
      </c>
      <c r="N44" s="33">
        <v>368103.65003811318</v>
      </c>
      <c r="O44" s="2">
        <v>368103.65003811318</v>
      </c>
      <c r="P44" s="2">
        <v>0</v>
      </c>
      <c r="Q44" s="2">
        <v>33639.278749299541</v>
      </c>
      <c r="R44" s="2" t="s">
        <v>155</v>
      </c>
      <c r="S44" s="33"/>
      <c r="T44" s="33">
        <v>0</v>
      </c>
      <c r="U44" s="33">
        <v>12961.995303831804</v>
      </c>
      <c r="V44" s="33">
        <v>5490.508731399078</v>
      </c>
      <c r="W44" s="33"/>
      <c r="X44" s="33">
        <v>24777.936913207886</v>
      </c>
      <c r="Y44" s="33"/>
      <c r="Z44" s="33">
        <v>268892.08742467995</v>
      </c>
      <c r="AA44" s="33"/>
      <c r="AB44" s="33"/>
      <c r="AC44" s="33">
        <f t="shared" si="86"/>
        <v>312122.52837311872</v>
      </c>
      <c r="AD44" s="2">
        <f t="shared" si="87"/>
        <v>312122.52837311872</v>
      </c>
      <c r="AE44" s="2">
        <f t="shared" si="88"/>
        <v>0</v>
      </c>
      <c r="AF44" s="2" t="s">
        <v>155</v>
      </c>
      <c r="AG44" s="33"/>
      <c r="AH44" s="33">
        <v>0</v>
      </c>
      <c r="AI44" s="33">
        <v>2422.9302343347144</v>
      </c>
      <c r="AJ44" s="33">
        <v>2419.3955597429895</v>
      </c>
      <c r="AK44" s="33"/>
      <c r="AL44" s="33">
        <v>10918.410930589916</v>
      </c>
      <c r="AM44" s="33"/>
      <c r="AN44" s="33">
        <v>246922.06090324081</v>
      </c>
      <c r="AO44" s="33"/>
      <c r="AP44" s="33"/>
      <c r="AQ44" s="33"/>
      <c r="AR44" s="33">
        <f t="shared" si="89"/>
        <v>262682.79762790841</v>
      </c>
      <c r="AS44" s="2">
        <f t="shared" si="90"/>
        <v>262682.79762790841</v>
      </c>
      <c r="AT44" s="2"/>
      <c r="AU44" s="2"/>
      <c r="AV44" s="2"/>
      <c r="AW44" s="2"/>
      <c r="AX44" s="2" t="s">
        <v>155</v>
      </c>
      <c r="AY44" s="33"/>
      <c r="AZ44" s="33">
        <v>0</v>
      </c>
      <c r="BA44" s="33">
        <v>0</v>
      </c>
      <c r="BB44" s="33">
        <v>1288.5965107951106</v>
      </c>
      <c r="BC44" s="33"/>
      <c r="BD44" s="33">
        <v>5815.2649623280076</v>
      </c>
      <c r="BE44" s="33"/>
      <c r="BF44" s="33">
        <v>216573.00231647523</v>
      </c>
      <c r="BG44" s="33"/>
      <c r="BH44" s="33"/>
      <c r="BI44" s="33"/>
      <c r="BJ44" s="33">
        <f t="shared" si="91"/>
        <v>223676.86378959834</v>
      </c>
      <c r="BK44" s="2">
        <f t="shared" si="92"/>
        <v>223676.86378959834</v>
      </c>
      <c r="BL44" s="2"/>
      <c r="BM44" s="2"/>
      <c r="BN44" s="2"/>
      <c r="BO44" s="2"/>
      <c r="BP44" s="4" t="s">
        <v>155</v>
      </c>
      <c r="BQ44" s="52">
        <v>2.2211294742288253E-6</v>
      </c>
      <c r="BR44" s="52">
        <v>1.7346528078014762E-4</v>
      </c>
      <c r="BS44" s="52">
        <v>1.816201656520896</v>
      </c>
      <c r="BT44" s="52">
        <v>0.30698292298606006</v>
      </c>
      <c r="BU44" s="52">
        <v>0</v>
      </c>
      <c r="BV44" s="52">
        <v>1.1859841482365026</v>
      </c>
      <c r="BW44" s="52">
        <v>0</v>
      </c>
      <c r="BX44" s="52">
        <v>42.18920647477627</v>
      </c>
      <c r="BY44" s="52">
        <v>0.13104562470991216</v>
      </c>
      <c r="BZ44" s="52">
        <f t="shared" si="93"/>
        <v>45.629596513639896</v>
      </c>
      <c r="CA44" s="52">
        <f t="shared" si="94"/>
        <v>3.4403900388636259</v>
      </c>
      <c r="CB44" s="52">
        <v>0</v>
      </c>
      <c r="CC44" s="4" t="s">
        <v>155</v>
      </c>
      <c r="CD44" s="52">
        <v>0</v>
      </c>
      <c r="CE44" s="52">
        <v>0</v>
      </c>
      <c r="CF44" s="52">
        <v>0.83602268008095604</v>
      </c>
      <c r="CG44" s="52">
        <v>0.30755829394088291</v>
      </c>
      <c r="CH44" s="52">
        <v>0</v>
      </c>
      <c r="CI44" s="52">
        <v>1.1882070107499545</v>
      </c>
      <c r="CJ44" s="52"/>
      <c r="CK44" s="52">
        <v>10.727022325965221</v>
      </c>
      <c r="CL44" s="52">
        <v>0</v>
      </c>
      <c r="CM44" s="52"/>
      <c r="CN44" s="52">
        <f t="shared" si="95"/>
        <v>13.058810310737014</v>
      </c>
      <c r="CO44" s="52">
        <f t="shared" si="96"/>
        <v>2.3317879847717933</v>
      </c>
      <c r="CP44" s="52">
        <v>0</v>
      </c>
      <c r="CQ44" s="4" t="s">
        <v>155</v>
      </c>
      <c r="CR44" s="52">
        <v>0</v>
      </c>
      <c r="CS44" s="52">
        <v>0</v>
      </c>
      <c r="CT44" s="52">
        <v>0.15627413686524597</v>
      </c>
      <c r="CU44" s="52">
        <v>0.13552572395838633</v>
      </c>
      <c r="CV44" s="52">
        <v>0</v>
      </c>
      <c r="CW44" s="52">
        <v>0.52358404412033333</v>
      </c>
      <c r="CX44" s="52"/>
      <c r="CY44" s="52">
        <v>0.92158316455043021</v>
      </c>
      <c r="CZ44" s="52">
        <v>0</v>
      </c>
      <c r="DA44" s="52"/>
      <c r="DB44" s="52">
        <f t="shared" si="97"/>
        <v>1.7369670694943959</v>
      </c>
      <c r="DC44" s="52">
        <f t="shared" si="98"/>
        <v>0.81538390494396562</v>
      </c>
      <c r="DE44" s="55">
        <f t="shared" si="99"/>
        <v>0.81538390494396562</v>
      </c>
      <c r="DF44" s="55">
        <f t="shared" si="100"/>
        <v>0</v>
      </c>
      <c r="DG44" s="56">
        <v>0</v>
      </c>
      <c r="DI44" s="4" t="s">
        <v>155</v>
      </c>
      <c r="DJ44" s="52">
        <v>0</v>
      </c>
      <c r="DK44" s="52">
        <v>0</v>
      </c>
      <c r="DL44" s="52">
        <v>0</v>
      </c>
      <c r="DM44" s="52">
        <v>7.2182481410484861E-2</v>
      </c>
      <c r="DN44" s="52">
        <v>0</v>
      </c>
      <c r="DO44" s="52">
        <v>0.27886658287209826</v>
      </c>
      <c r="DP44" s="52"/>
      <c r="DQ44" s="52">
        <v>0</v>
      </c>
      <c r="DR44" s="52">
        <v>0</v>
      </c>
      <c r="DS44" s="52"/>
      <c r="DT44" s="52">
        <f t="shared" si="101"/>
        <v>0.35104906428258309</v>
      </c>
      <c r="DU44" s="52">
        <f t="shared" si="102"/>
        <v>0.35104906428258309</v>
      </c>
      <c r="DW44" s="54">
        <f t="shared" si="103"/>
        <v>0.35104906428258309</v>
      </c>
      <c r="DX44" s="54">
        <f t="shared" si="104"/>
        <v>0</v>
      </c>
      <c r="DY44" s="52">
        <v>0</v>
      </c>
    </row>
    <row r="45" spans="1:129" s="4" customFormat="1">
      <c r="A45" s="30" t="s">
        <v>156</v>
      </c>
      <c r="B45" s="34" t="s">
        <v>157</v>
      </c>
      <c r="C45" s="34" t="s">
        <v>158</v>
      </c>
      <c r="D45" s="85" t="s">
        <v>340</v>
      </c>
      <c r="E45" s="33">
        <v>0</v>
      </c>
      <c r="F45" s="33">
        <v>0</v>
      </c>
      <c r="G45" s="33">
        <v>957.00062167241515</v>
      </c>
      <c r="H45" s="33">
        <v>98.682329186266202</v>
      </c>
      <c r="I45" s="33">
        <v>0</v>
      </c>
      <c r="J45" s="33">
        <v>2714.0988995489597</v>
      </c>
      <c r="K45" s="33">
        <v>0</v>
      </c>
      <c r="L45" s="33">
        <v>17569.691950195662</v>
      </c>
      <c r="M45" s="33">
        <v>1399.9363500212889</v>
      </c>
      <c r="N45" s="33">
        <v>22739.410150624593</v>
      </c>
      <c r="O45" s="2">
        <v>22739.410150624593</v>
      </c>
      <c r="P45" s="2">
        <v>0</v>
      </c>
      <c r="Q45" s="2">
        <v>1055.6829508586814</v>
      </c>
      <c r="R45" s="2" t="s">
        <v>159</v>
      </c>
      <c r="S45" s="33"/>
      <c r="T45" s="33">
        <v>0</v>
      </c>
      <c r="U45" s="33">
        <v>1483.7844391043084</v>
      </c>
      <c r="V45" s="33">
        <v>79.070240768389112</v>
      </c>
      <c r="W45" s="33"/>
      <c r="X45" s="33">
        <v>2174.6999207070103</v>
      </c>
      <c r="Y45" s="33"/>
      <c r="Z45" s="33">
        <v>20473.085618951136</v>
      </c>
      <c r="AA45" s="33"/>
      <c r="AB45" s="33"/>
      <c r="AC45" s="33">
        <f t="shared" si="86"/>
        <v>24210.640219530844</v>
      </c>
      <c r="AD45" s="2">
        <f t="shared" si="87"/>
        <v>24210.640219530844</v>
      </c>
      <c r="AE45" s="2">
        <f t="shared" si="88"/>
        <v>0</v>
      </c>
      <c r="AF45" s="2" t="s">
        <v>159</v>
      </c>
      <c r="AG45" s="33"/>
      <c r="AH45" s="33">
        <v>0</v>
      </c>
      <c r="AI45" s="33">
        <v>369.06837270375166</v>
      </c>
      <c r="AJ45" s="33">
        <v>52.283218627655316</v>
      </c>
      <c r="AK45" s="33"/>
      <c r="AL45" s="33">
        <v>1437.9659186433721</v>
      </c>
      <c r="AM45" s="33"/>
      <c r="AN45" s="33">
        <v>18844.11537253761</v>
      </c>
      <c r="AO45" s="33"/>
      <c r="AP45" s="33"/>
      <c r="AQ45" s="33"/>
      <c r="AR45" s="33">
        <f t="shared" si="89"/>
        <v>20703.432882512388</v>
      </c>
      <c r="AS45" s="2">
        <f t="shared" si="90"/>
        <v>20703.432882512388</v>
      </c>
      <c r="AT45" s="2"/>
      <c r="AU45" s="2"/>
      <c r="AV45" s="2"/>
      <c r="AW45" s="2"/>
      <c r="AX45" s="2" t="s">
        <v>159</v>
      </c>
      <c r="AY45" s="33"/>
      <c r="AZ45" s="33">
        <v>0</v>
      </c>
      <c r="BA45" s="33">
        <v>0</v>
      </c>
      <c r="BB45" s="33">
        <v>28.322033756021892</v>
      </c>
      <c r="BC45" s="33"/>
      <c r="BD45" s="33">
        <v>778.95203005509791</v>
      </c>
      <c r="BE45" s="33"/>
      <c r="BF45" s="33">
        <v>16612.379213677355</v>
      </c>
      <c r="BG45" s="33"/>
      <c r="BH45" s="33"/>
      <c r="BI45" s="33"/>
      <c r="BJ45" s="33">
        <f t="shared" si="91"/>
        <v>17419.653277488476</v>
      </c>
      <c r="BK45" s="2">
        <f t="shared" si="92"/>
        <v>17419.653277488476</v>
      </c>
      <c r="BL45" s="2"/>
      <c r="BM45" s="2"/>
      <c r="BN45" s="2"/>
      <c r="BO45" s="2"/>
      <c r="BP45" s="4" t="s">
        <v>159</v>
      </c>
      <c r="BQ45" s="52">
        <v>0</v>
      </c>
      <c r="BR45" s="52">
        <v>0</v>
      </c>
      <c r="BS45" s="52">
        <v>6.1994948874919166E-2</v>
      </c>
      <c r="BT45" s="52">
        <v>5.5279746639492391E-3</v>
      </c>
      <c r="BU45" s="52">
        <v>0</v>
      </c>
      <c r="BV45" s="52">
        <v>0.13017067440564103</v>
      </c>
      <c r="BW45" s="52">
        <v>0</v>
      </c>
      <c r="BX45" s="52">
        <v>2.4126580847203885</v>
      </c>
      <c r="BY45" s="52">
        <v>5.624646791457176E-2</v>
      </c>
      <c r="BZ45" s="52">
        <f t="shared" si="93"/>
        <v>2.6665981505794698</v>
      </c>
      <c r="CA45" s="52">
        <f t="shared" si="94"/>
        <v>0.25394006585908135</v>
      </c>
      <c r="CB45" s="52">
        <v>0</v>
      </c>
      <c r="CC45" s="4" t="s">
        <v>159</v>
      </c>
      <c r="CD45" s="52">
        <v>0</v>
      </c>
      <c r="CE45" s="52">
        <v>0</v>
      </c>
      <c r="CF45" s="52">
        <v>9.6120251502991971E-2</v>
      </c>
      <c r="CG45" s="52">
        <v>4.4293470902473688E-3</v>
      </c>
      <c r="CH45" s="52">
        <v>0</v>
      </c>
      <c r="CI45" s="52">
        <v>0.1043006042835688</v>
      </c>
      <c r="CJ45" s="52"/>
      <c r="CK45" s="52">
        <v>0.81674120134681649</v>
      </c>
      <c r="CL45" s="52">
        <v>0</v>
      </c>
      <c r="CM45" s="52"/>
      <c r="CN45" s="52">
        <f t="shared" si="95"/>
        <v>1.0215914042236247</v>
      </c>
      <c r="CO45" s="52">
        <f t="shared" si="96"/>
        <v>0.20485020287680814</v>
      </c>
      <c r="CP45" s="52">
        <v>0</v>
      </c>
      <c r="CQ45" s="4" t="s">
        <v>159</v>
      </c>
      <c r="CR45" s="52">
        <v>0</v>
      </c>
      <c r="CS45" s="52">
        <v>0</v>
      </c>
      <c r="CT45" s="52">
        <v>2.3908422187995958E-2</v>
      </c>
      <c r="CU45" s="52">
        <v>2.9287949555574632E-3</v>
      </c>
      <c r="CV45" s="52">
        <v>0</v>
      </c>
      <c r="CW45" s="52">
        <v>6.8966165320372599E-2</v>
      </c>
      <c r="CX45" s="52"/>
      <c r="CY45" s="52">
        <v>7.0331583231770634E-2</v>
      </c>
      <c r="CZ45" s="52">
        <v>0</v>
      </c>
      <c r="DA45" s="52"/>
      <c r="DB45" s="52">
        <f t="shared" si="97"/>
        <v>0.16613496569569666</v>
      </c>
      <c r="DC45" s="52">
        <f t="shared" si="98"/>
        <v>9.5803382463926029E-2</v>
      </c>
      <c r="DE45" s="55">
        <f t="shared" si="99"/>
        <v>9.5803382463926029E-2</v>
      </c>
      <c r="DF45" s="55">
        <f t="shared" si="100"/>
        <v>0</v>
      </c>
      <c r="DG45" s="56">
        <v>0</v>
      </c>
      <c r="DI45" s="4" t="s">
        <v>159</v>
      </c>
      <c r="DJ45" s="52">
        <v>0</v>
      </c>
      <c r="DK45" s="52">
        <v>0</v>
      </c>
      <c r="DL45" s="52">
        <v>0</v>
      </c>
      <c r="DM45" s="52">
        <v>1.5865402278789477E-3</v>
      </c>
      <c r="DN45" s="52">
        <v>0</v>
      </c>
      <c r="DO45" s="52">
        <v>3.7359254336223995E-2</v>
      </c>
      <c r="DP45" s="52"/>
      <c r="DQ45" s="52">
        <v>0</v>
      </c>
      <c r="DR45" s="52">
        <v>0</v>
      </c>
      <c r="DS45" s="52"/>
      <c r="DT45" s="52">
        <f t="shared" si="101"/>
        <v>3.8945794564102944E-2</v>
      </c>
      <c r="DU45" s="52">
        <f t="shared" si="102"/>
        <v>3.8945794564102944E-2</v>
      </c>
      <c r="DW45" s="54">
        <f t="shared" si="103"/>
        <v>3.8945794564102944E-2</v>
      </c>
      <c r="DX45" s="54">
        <f t="shared" si="104"/>
        <v>0</v>
      </c>
      <c r="DY45" s="52">
        <v>0</v>
      </c>
    </row>
    <row r="46" spans="1:129" s="4" customFormat="1">
      <c r="A46" s="30" t="s">
        <v>160</v>
      </c>
      <c r="B46" s="34" t="s">
        <v>161</v>
      </c>
      <c r="C46" s="34" t="s">
        <v>162</v>
      </c>
      <c r="D46" s="85" t="s">
        <v>341</v>
      </c>
      <c r="E46" s="33">
        <v>0</v>
      </c>
      <c r="F46" s="33">
        <v>0</v>
      </c>
      <c r="G46" s="33">
        <v>5149.8130710106989</v>
      </c>
      <c r="H46" s="33">
        <v>398.02454666497681</v>
      </c>
      <c r="I46" s="33">
        <v>0</v>
      </c>
      <c r="J46" s="33">
        <v>12251.852168251333</v>
      </c>
      <c r="K46" s="33">
        <v>0</v>
      </c>
      <c r="L46" s="33">
        <v>34626.511528013682</v>
      </c>
      <c r="M46" s="33">
        <v>10628.764958614152</v>
      </c>
      <c r="N46" s="33">
        <v>63054.966272554841</v>
      </c>
      <c r="O46" s="2">
        <v>63054.966272554841</v>
      </c>
      <c r="P46" s="2">
        <v>0</v>
      </c>
      <c r="Q46" s="2">
        <v>5547.8376176756756</v>
      </c>
      <c r="R46" s="2" t="s">
        <v>163</v>
      </c>
      <c r="S46" s="33"/>
      <c r="T46" s="33">
        <v>0</v>
      </c>
      <c r="U46" s="33">
        <v>606.07413050851164</v>
      </c>
      <c r="V46" s="33">
        <v>28.96597310985797</v>
      </c>
      <c r="W46" s="33"/>
      <c r="X46" s="33">
        <v>891.62043754612125</v>
      </c>
      <c r="Y46" s="33"/>
      <c r="Z46" s="33">
        <v>8362.5405674306585</v>
      </c>
      <c r="AA46" s="33"/>
      <c r="AB46" s="33"/>
      <c r="AC46" s="33">
        <f t="shared" si="86"/>
        <v>9889.201108595149</v>
      </c>
      <c r="AD46" s="2">
        <f t="shared" si="87"/>
        <v>9889.201108595149</v>
      </c>
      <c r="AE46" s="2">
        <f>AC46*P46/N46</f>
        <v>0</v>
      </c>
      <c r="AF46" s="2" t="s">
        <v>163</v>
      </c>
      <c r="AG46" s="33"/>
      <c r="AH46" s="33">
        <v>0</v>
      </c>
      <c r="AI46" s="33">
        <v>143.81737519505117</v>
      </c>
      <c r="AJ46" s="33">
        <v>18.272037201927382</v>
      </c>
      <c r="AK46" s="33"/>
      <c r="AL46" s="33">
        <v>562.44344849222239</v>
      </c>
      <c r="AM46" s="33"/>
      <c r="AN46" s="33">
        <v>7343.1142064466685</v>
      </c>
      <c r="AO46" s="33"/>
      <c r="AP46" s="33"/>
      <c r="AQ46" s="33"/>
      <c r="AR46" s="33">
        <f t="shared" si="89"/>
        <v>8067.647067335869</v>
      </c>
      <c r="AS46" s="2">
        <f t="shared" si="90"/>
        <v>8067.647067335869</v>
      </c>
      <c r="AT46" s="2"/>
      <c r="AU46" s="2"/>
      <c r="AV46" s="2"/>
      <c r="AW46" s="2"/>
      <c r="AX46" s="2" t="s">
        <v>163</v>
      </c>
      <c r="AY46" s="33"/>
      <c r="AZ46" s="33">
        <v>0</v>
      </c>
      <c r="BA46" s="33">
        <v>0</v>
      </c>
      <c r="BB46" s="33">
        <v>9.4702501073775789</v>
      </c>
      <c r="BC46" s="33"/>
      <c r="BD46" s="33">
        <v>291.50992139592591</v>
      </c>
      <c r="BE46" s="33"/>
      <c r="BF46" s="33">
        <v>6193.6794069732277</v>
      </c>
      <c r="BG46" s="33"/>
      <c r="BH46" s="33"/>
      <c r="BI46" s="33"/>
      <c r="BJ46" s="33">
        <f t="shared" si="91"/>
        <v>6494.6595784765314</v>
      </c>
      <c r="BK46" s="2">
        <f t="shared" si="92"/>
        <v>6494.6595784765314</v>
      </c>
      <c r="BL46" s="2"/>
      <c r="BM46" s="2"/>
      <c r="BN46" s="2"/>
      <c r="BO46" s="2"/>
      <c r="BP46" s="4" t="s">
        <v>163</v>
      </c>
      <c r="BQ46" s="52">
        <v>0</v>
      </c>
      <c r="BR46" s="52">
        <v>0</v>
      </c>
      <c r="BS46" s="52">
        <v>0.33276128096834739</v>
      </c>
      <c r="BT46" s="52">
        <v>2.2295512879892187E-2</v>
      </c>
      <c r="BU46" s="52">
        <v>0</v>
      </c>
      <c r="BV46" s="52">
        <v>0.5874828598572287</v>
      </c>
      <c r="BW46" s="52">
        <v>0</v>
      </c>
      <c r="BX46" s="52">
        <v>4.7362805347683503</v>
      </c>
      <c r="BY46" s="52">
        <v>0.46802390913438235</v>
      </c>
      <c r="BZ46" s="52">
        <f t="shared" si="93"/>
        <v>6.1468440976082013</v>
      </c>
      <c r="CA46" s="52">
        <f t="shared" si="94"/>
        <v>1.410563562839851</v>
      </c>
      <c r="CB46" s="52">
        <v>0</v>
      </c>
      <c r="CC46" s="4" t="s">
        <v>163</v>
      </c>
      <c r="CD46" s="52">
        <v>0</v>
      </c>
      <c r="CE46" s="52">
        <v>0</v>
      </c>
      <c r="CF46" s="52">
        <v>3.9162198947584034E-2</v>
      </c>
      <c r="CG46" s="52">
        <v>1.6225412024475918E-3</v>
      </c>
      <c r="CH46" s="52">
        <v>0</v>
      </c>
      <c r="CI46" s="52">
        <v>4.2753676535056566E-2</v>
      </c>
      <c r="CJ46" s="52"/>
      <c r="CK46" s="52">
        <v>0.33361026063567628</v>
      </c>
      <c r="CL46" s="52">
        <v>0</v>
      </c>
      <c r="CM46" s="52"/>
      <c r="CN46" s="52">
        <f t="shared" si="95"/>
        <v>0.41714867732076444</v>
      </c>
      <c r="CO46" s="52">
        <f t="shared" si="96"/>
        <v>8.3538416685088185E-2</v>
      </c>
      <c r="CP46" s="52">
        <v>0</v>
      </c>
      <c r="CQ46" s="4" t="s">
        <v>163</v>
      </c>
      <c r="CR46" s="52">
        <v>0</v>
      </c>
      <c r="CS46" s="52">
        <v>0</v>
      </c>
      <c r="CT46" s="52">
        <v>9.292930313297431E-3</v>
      </c>
      <c r="CU46" s="52">
        <v>1.0235158715483513E-3</v>
      </c>
      <c r="CV46" s="52">
        <v>0</v>
      </c>
      <c r="CW46" s="52">
        <v>2.6969463970877582E-2</v>
      </c>
      <c r="CX46" s="52"/>
      <c r="CY46" s="52">
        <v>2.7406584908928736E-2</v>
      </c>
      <c r="CZ46" s="52">
        <v>0</v>
      </c>
      <c r="DA46" s="52"/>
      <c r="DB46" s="52">
        <f t="shared" si="97"/>
        <v>6.4692495064652106E-2</v>
      </c>
      <c r="DC46" s="52">
        <f t="shared" si="98"/>
        <v>3.7285910155723363E-2</v>
      </c>
      <c r="DE46" s="55">
        <f t="shared" si="99"/>
        <v>3.7285910155723363E-2</v>
      </c>
      <c r="DF46" s="55">
        <f t="shared" si="100"/>
        <v>0</v>
      </c>
      <c r="DG46" s="56">
        <v>0</v>
      </c>
      <c r="DI46" s="4" t="s">
        <v>163</v>
      </c>
      <c r="DJ46" s="52">
        <v>0</v>
      </c>
      <c r="DK46" s="52">
        <v>0</v>
      </c>
      <c r="DL46" s="52">
        <v>0</v>
      </c>
      <c r="DM46" s="52">
        <v>5.3048005459462348E-4</v>
      </c>
      <c r="DN46" s="52">
        <v>0</v>
      </c>
      <c r="DO46" s="52">
        <v>1.3978056537624505E-2</v>
      </c>
      <c r="DP46" s="52"/>
      <c r="DQ46" s="52">
        <v>0</v>
      </c>
      <c r="DR46" s="52">
        <v>0</v>
      </c>
      <c r="DS46" s="52"/>
      <c r="DT46" s="52">
        <f t="shared" si="101"/>
        <v>1.4508536592219129E-2</v>
      </c>
      <c r="DU46" s="52">
        <f t="shared" si="102"/>
        <v>1.4508536592219129E-2</v>
      </c>
      <c r="DW46" s="54">
        <f t="shared" si="103"/>
        <v>1.4508536592219129E-2</v>
      </c>
      <c r="DX46" s="54">
        <f t="shared" si="104"/>
        <v>0</v>
      </c>
      <c r="DY46" s="52">
        <v>0</v>
      </c>
    </row>
    <row r="47" spans="1:129" s="4" customFormat="1">
      <c r="A47" s="30" t="s">
        <v>164</v>
      </c>
      <c r="B47" s="31" t="s">
        <v>165</v>
      </c>
      <c r="C47" s="34" t="s">
        <v>166</v>
      </c>
      <c r="D47" s="85" t="s">
        <v>342</v>
      </c>
      <c r="E47" s="33">
        <v>3.7800931660710662</v>
      </c>
      <c r="F47" s="33">
        <v>0</v>
      </c>
      <c r="G47" s="33">
        <v>4487.4616131410203</v>
      </c>
      <c r="H47" s="33">
        <v>195.28120538036492</v>
      </c>
      <c r="I47" s="33">
        <v>0</v>
      </c>
      <c r="J47" s="33">
        <v>6977.40959369132</v>
      </c>
      <c r="K47" s="33">
        <v>0</v>
      </c>
      <c r="L47" s="33">
        <v>27131.305152162568</v>
      </c>
      <c r="M47" s="33">
        <v>1301.1034972886764</v>
      </c>
      <c r="N47" s="33">
        <v>40096.341154830021</v>
      </c>
      <c r="O47" s="2">
        <v>40096.341154830021</v>
      </c>
      <c r="P47" s="2">
        <v>0</v>
      </c>
      <c r="Q47" s="2">
        <v>4682.7428185213848</v>
      </c>
      <c r="R47" s="2" t="s">
        <v>167</v>
      </c>
      <c r="S47" s="33"/>
      <c r="T47" s="33">
        <v>0</v>
      </c>
      <c r="U47" s="33">
        <v>2970.5311159395401</v>
      </c>
      <c r="V47" s="33">
        <v>122.84323817044931</v>
      </c>
      <c r="W47" s="33"/>
      <c r="X47" s="33">
        <v>4389.1965274441254</v>
      </c>
      <c r="Y47" s="33"/>
      <c r="Z47" s="33">
        <v>40987.043850588183</v>
      </c>
      <c r="AA47" s="33"/>
      <c r="AB47" s="33"/>
      <c r="AC47" s="33">
        <f t="shared" si="86"/>
        <v>48469.614732142298</v>
      </c>
      <c r="AD47" s="2">
        <f t="shared" si="87"/>
        <v>48469.614732142298</v>
      </c>
      <c r="AE47" s="2">
        <f t="shared" si="88"/>
        <v>0</v>
      </c>
      <c r="AF47" s="2" t="s">
        <v>167</v>
      </c>
      <c r="AG47" s="33"/>
      <c r="AH47" s="33">
        <v>0</v>
      </c>
      <c r="AI47" s="33">
        <v>722.11405712576197</v>
      </c>
      <c r="AJ47" s="33">
        <v>79.384586312973013</v>
      </c>
      <c r="AK47" s="33"/>
      <c r="AL47" s="33">
        <v>2836.4161981306979</v>
      </c>
      <c r="AM47" s="33"/>
      <c r="AN47" s="33">
        <v>36870.134671582353</v>
      </c>
      <c r="AO47" s="33"/>
      <c r="AP47" s="33"/>
      <c r="AQ47" s="33"/>
      <c r="AR47" s="33">
        <f t="shared" si="89"/>
        <v>40508.049513151789</v>
      </c>
      <c r="AS47" s="2">
        <f t="shared" si="90"/>
        <v>40508.049513151789</v>
      </c>
      <c r="AT47" s="2"/>
      <c r="AU47" s="2"/>
      <c r="AV47" s="2"/>
      <c r="AW47" s="2"/>
      <c r="AX47" s="2" t="s">
        <v>167</v>
      </c>
      <c r="AY47" s="33"/>
      <c r="AZ47" s="33">
        <v>0</v>
      </c>
      <c r="BA47" s="33">
        <v>0</v>
      </c>
      <c r="BB47" s="33">
        <v>42.108313468931343</v>
      </c>
      <c r="BC47" s="33"/>
      <c r="BD47" s="33">
        <v>1504.532654845158</v>
      </c>
      <c r="BE47" s="33"/>
      <c r="BF47" s="33">
        <v>31827.340211755338</v>
      </c>
      <c r="BG47" s="33"/>
      <c r="BH47" s="33"/>
      <c r="BI47" s="33"/>
      <c r="BJ47" s="33">
        <f t="shared" si="91"/>
        <v>33373.98118006943</v>
      </c>
      <c r="BK47" s="2">
        <f t="shared" si="92"/>
        <v>33373.98118006943</v>
      </c>
      <c r="BL47" s="2"/>
      <c r="BM47" s="2"/>
      <c r="BN47" s="2"/>
      <c r="BO47" s="2"/>
      <c r="BP47" s="4" t="s">
        <v>167</v>
      </c>
      <c r="BQ47" s="52">
        <v>2.6304073593099071E-4</v>
      </c>
      <c r="BR47" s="52">
        <v>0</v>
      </c>
      <c r="BS47" s="52">
        <v>0.24199823632228651</v>
      </c>
      <c r="BT47" s="52">
        <v>9.1113622397163054E-3</v>
      </c>
      <c r="BU47" s="52">
        <v>0</v>
      </c>
      <c r="BV47" s="52">
        <v>0.27871081531087205</v>
      </c>
      <c r="BW47" s="52">
        <v>0</v>
      </c>
      <c r="BX47" s="52">
        <v>3.7373459426688456</v>
      </c>
      <c r="BY47" s="52">
        <v>7.2875322920330568E-2</v>
      </c>
      <c r="BZ47" s="52">
        <f t="shared" si="93"/>
        <v>4.3403047201979819</v>
      </c>
      <c r="CA47" s="52">
        <f t="shared" si="94"/>
        <v>0.60295877752913629</v>
      </c>
      <c r="CB47" s="52">
        <v>0</v>
      </c>
      <c r="CC47" s="4" t="s">
        <v>167</v>
      </c>
      <c r="CD47" s="52">
        <v>0</v>
      </c>
      <c r="CE47" s="52">
        <v>0</v>
      </c>
      <c r="CF47" s="52">
        <v>0.16019374714933116</v>
      </c>
      <c r="CG47" s="52">
        <v>5.7315768790479242E-3</v>
      </c>
      <c r="CH47" s="52">
        <v>0</v>
      </c>
      <c r="CI47" s="52">
        <v>0.17532531612156921</v>
      </c>
      <c r="CJ47" s="52"/>
      <c r="CK47" s="52">
        <v>1.6351129505948432</v>
      </c>
      <c r="CL47" s="52">
        <v>0</v>
      </c>
      <c r="CM47" s="52"/>
      <c r="CN47" s="52">
        <f t="shared" si="95"/>
        <v>1.9763635907447914</v>
      </c>
      <c r="CO47" s="52">
        <f t="shared" si="96"/>
        <v>0.34125064014994833</v>
      </c>
      <c r="CP47" s="52">
        <v>0</v>
      </c>
      <c r="CQ47" s="4" t="s">
        <v>167</v>
      </c>
      <c r="CR47" s="52">
        <v>0</v>
      </c>
      <c r="CS47" s="52">
        <v>0</v>
      </c>
      <c r="CT47" s="52">
        <v>3.8941910441357051E-2</v>
      </c>
      <c r="CU47" s="52">
        <v>3.7038982872862197E-3</v>
      </c>
      <c r="CV47" s="52">
        <v>0</v>
      </c>
      <c r="CW47" s="52">
        <v>0.11329990887402448</v>
      </c>
      <c r="CX47" s="52"/>
      <c r="CY47" s="52">
        <v>0.13760979988480013</v>
      </c>
      <c r="CZ47" s="52">
        <v>0</v>
      </c>
      <c r="DA47" s="52"/>
      <c r="DB47" s="52">
        <f t="shared" si="97"/>
        <v>0.29355551748746789</v>
      </c>
      <c r="DC47" s="52">
        <f t="shared" si="98"/>
        <v>0.15594571760266776</v>
      </c>
      <c r="DE47" s="55">
        <f t="shared" si="99"/>
        <v>0.15594571760266776</v>
      </c>
      <c r="DF47" s="55">
        <f t="shared" si="100"/>
        <v>0</v>
      </c>
      <c r="DG47" s="56">
        <v>0</v>
      </c>
      <c r="DI47" s="4" t="s">
        <v>167</v>
      </c>
      <c r="DJ47" s="52">
        <v>0</v>
      </c>
      <c r="DK47" s="52">
        <v>0</v>
      </c>
      <c r="DL47" s="52">
        <v>0</v>
      </c>
      <c r="DM47" s="52">
        <v>1.9646749751040561E-3</v>
      </c>
      <c r="DN47" s="52">
        <v>0</v>
      </c>
      <c r="DO47" s="52">
        <v>6.0098166413057492E-2</v>
      </c>
      <c r="DP47" s="52"/>
      <c r="DQ47" s="52">
        <v>0</v>
      </c>
      <c r="DR47" s="52">
        <v>0</v>
      </c>
      <c r="DS47" s="52"/>
      <c r="DT47" s="52">
        <f t="shared" si="101"/>
        <v>6.2062841388161552E-2</v>
      </c>
      <c r="DU47" s="52">
        <f t="shared" si="102"/>
        <v>6.2062841388161552E-2</v>
      </c>
      <c r="DW47" s="54">
        <f t="shared" si="103"/>
        <v>6.2062841388161552E-2</v>
      </c>
      <c r="DX47" s="54">
        <f t="shared" si="104"/>
        <v>0</v>
      </c>
      <c r="DY47" s="52">
        <v>0</v>
      </c>
    </row>
    <row r="48" spans="1:129" s="4" customFormat="1">
      <c r="A48" s="30"/>
      <c r="B48" s="31" t="s">
        <v>168</v>
      </c>
      <c r="C48" s="34" t="s">
        <v>169</v>
      </c>
      <c r="D48" s="85" t="s">
        <v>343</v>
      </c>
      <c r="E48" s="33">
        <v>0</v>
      </c>
      <c r="F48" s="33">
        <v>0</v>
      </c>
      <c r="G48" s="33">
        <v>29786.038880086155</v>
      </c>
      <c r="H48" s="33">
        <v>2023.0440235318322</v>
      </c>
      <c r="I48" s="33">
        <v>0</v>
      </c>
      <c r="J48" s="33">
        <v>24256.55018643634</v>
      </c>
      <c r="K48" s="33">
        <v>0</v>
      </c>
      <c r="L48" s="33">
        <v>41575.026349226333</v>
      </c>
      <c r="M48" s="33">
        <v>4052.052772382614</v>
      </c>
      <c r="N48" s="33">
        <v>101692.71221166327</v>
      </c>
      <c r="O48" s="2">
        <v>101692.71221166328</v>
      </c>
      <c r="P48" s="2">
        <v>0</v>
      </c>
      <c r="Q48" s="2">
        <v>31809.082903617986</v>
      </c>
      <c r="R48" s="2" t="s">
        <v>170</v>
      </c>
      <c r="S48" s="33"/>
      <c r="T48" s="33">
        <v>0</v>
      </c>
      <c r="U48" s="33">
        <v>18665.130129798956</v>
      </c>
      <c r="V48" s="33">
        <v>2416.8896736500164</v>
      </c>
      <c r="W48" s="33"/>
      <c r="X48" s="33">
        <v>28978.808657669786</v>
      </c>
      <c r="Y48" s="33"/>
      <c r="Z48" s="33">
        <v>81989.613632604232</v>
      </c>
      <c r="AA48" s="33"/>
      <c r="AB48" s="33"/>
      <c r="AC48" s="33">
        <f t="shared" si="86"/>
        <v>132050.44209372299</v>
      </c>
      <c r="AD48" s="2">
        <f t="shared" si="87"/>
        <v>132050.44209372299</v>
      </c>
      <c r="AE48" s="2">
        <f t="shared" si="88"/>
        <v>0</v>
      </c>
      <c r="AF48" s="2" t="s">
        <v>170</v>
      </c>
      <c r="AG48" s="33"/>
      <c r="AH48" s="33">
        <v>0</v>
      </c>
      <c r="AI48" s="33">
        <v>5564.2005646395874</v>
      </c>
      <c r="AJ48" s="33">
        <v>1869.3228768913546</v>
      </c>
      <c r="AK48" s="33"/>
      <c r="AL48" s="33">
        <v>22413.414463817884</v>
      </c>
      <c r="AM48" s="33"/>
      <c r="AN48" s="33">
        <v>81338.300551515873</v>
      </c>
      <c r="AO48" s="33"/>
      <c r="AP48" s="33"/>
      <c r="AQ48" s="33"/>
      <c r="AR48" s="33">
        <f t="shared" si="89"/>
        <v>111185.2384568647</v>
      </c>
      <c r="AS48" s="2">
        <f t="shared" si="90"/>
        <v>111185.2384568647</v>
      </c>
      <c r="AT48" s="2"/>
      <c r="AU48" s="2"/>
      <c r="AV48" s="2"/>
      <c r="AW48" s="2"/>
      <c r="AX48" s="2" t="s">
        <v>170</v>
      </c>
      <c r="AY48" s="33"/>
      <c r="AZ48" s="33">
        <v>0</v>
      </c>
      <c r="BA48" s="33">
        <v>0</v>
      </c>
      <c r="BB48" s="33">
        <v>852.71031962099971</v>
      </c>
      <c r="BC48" s="33"/>
      <c r="BD48" s="33">
        <v>10224.103095032571</v>
      </c>
      <c r="BE48" s="33"/>
      <c r="BF48" s="33">
        <v>75332.375071322604</v>
      </c>
      <c r="BG48" s="33"/>
      <c r="BH48" s="33"/>
      <c r="BI48" s="33"/>
      <c r="BJ48" s="33">
        <f t="shared" si="91"/>
        <v>86409.188485976178</v>
      </c>
      <c r="BK48" s="2">
        <f t="shared" si="92"/>
        <v>86409.188485976178</v>
      </c>
      <c r="BL48" s="2"/>
      <c r="BM48" s="2"/>
      <c r="BN48" s="2"/>
      <c r="BO48" s="2"/>
      <c r="BP48" s="4" t="s">
        <v>170</v>
      </c>
      <c r="BQ48" s="52">
        <v>0</v>
      </c>
      <c r="BR48" s="52">
        <v>0</v>
      </c>
      <c r="BS48" s="52">
        <v>1.6183085297940918</v>
      </c>
      <c r="BT48" s="52">
        <v>9.4388782262388032E-2</v>
      </c>
      <c r="BU48" s="52">
        <v>0</v>
      </c>
      <c r="BV48" s="52">
        <v>0.96868336244809827</v>
      </c>
      <c r="BW48" s="52">
        <v>0</v>
      </c>
      <c r="BX48" s="52">
        <v>5.693971648869927</v>
      </c>
      <c r="BY48" s="52">
        <v>0.14390620583431407</v>
      </c>
      <c r="BZ48" s="52">
        <f t="shared" si="93"/>
        <v>8.5192585292088197</v>
      </c>
      <c r="CA48" s="52">
        <f t="shared" si="94"/>
        <v>2.8252868803388926</v>
      </c>
      <c r="CB48" s="52">
        <v>0</v>
      </c>
      <c r="CC48" s="4" t="s">
        <v>170</v>
      </c>
      <c r="CD48" s="52">
        <v>0</v>
      </c>
      <c r="CE48" s="52">
        <v>0</v>
      </c>
      <c r="CF48" s="52">
        <v>1.0140972225402192</v>
      </c>
      <c r="CG48" s="52">
        <v>0.11276436424754645</v>
      </c>
      <c r="CH48" s="52">
        <v>0</v>
      </c>
      <c r="CI48" s="52">
        <v>1.1572663711242994</v>
      </c>
      <c r="CJ48" s="52"/>
      <c r="CK48" s="52">
        <v>3.2708452835398822</v>
      </c>
      <c r="CL48" s="52">
        <v>0</v>
      </c>
      <c r="CM48" s="52"/>
      <c r="CN48" s="52">
        <f t="shared" si="95"/>
        <v>5.5549732414519468</v>
      </c>
      <c r="CO48" s="52">
        <f t="shared" si="96"/>
        <v>2.284127957912065</v>
      </c>
      <c r="CP48" s="52">
        <v>0</v>
      </c>
      <c r="CQ48" s="4" t="s">
        <v>170</v>
      </c>
      <c r="CR48" s="52">
        <v>0</v>
      </c>
      <c r="CS48" s="52">
        <v>0</v>
      </c>
      <c r="CT48" s="52">
        <v>0.3023091882573713</v>
      </c>
      <c r="CU48" s="52">
        <v>8.7216643806378613E-2</v>
      </c>
      <c r="CV48" s="52">
        <v>0</v>
      </c>
      <c r="CW48" s="52">
        <v>0.89507788699872415</v>
      </c>
      <c r="CX48" s="52"/>
      <c r="CY48" s="52">
        <v>0.30357760723046096</v>
      </c>
      <c r="CZ48" s="52">
        <v>0</v>
      </c>
      <c r="DA48" s="52"/>
      <c r="DB48" s="52">
        <f t="shared" si="97"/>
        <v>1.5881813262929352</v>
      </c>
      <c r="DC48" s="52">
        <f t="shared" si="98"/>
        <v>1.2846037190624742</v>
      </c>
      <c r="DE48" s="55">
        <f t="shared" si="99"/>
        <v>1.2846037190624742</v>
      </c>
      <c r="DF48" s="55">
        <f t="shared" si="100"/>
        <v>0</v>
      </c>
      <c r="DG48" s="56">
        <v>0</v>
      </c>
      <c r="DI48" s="4" t="s">
        <v>170</v>
      </c>
      <c r="DJ48" s="52">
        <v>0</v>
      </c>
      <c r="DK48" s="52">
        <v>0</v>
      </c>
      <c r="DL48" s="52">
        <v>0</v>
      </c>
      <c r="DM48" s="52">
        <v>3.9784744056673961E-2</v>
      </c>
      <c r="DN48" s="52">
        <v>0</v>
      </c>
      <c r="DO48" s="52">
        <v>0.40829872706507891</v>
      </c>
      <c r="DP48" s="52"/>
      <c r="DQ48" s="52">
        <v>0</v>
      </c>
      <c r="DR48" s="52">
        <v>0</v>
      </c>
      <c r="DS48" s="52"/>
      <c r="DT48" s="52">
        <f t="shared" si="101"/>
        <v>0.4480834711217529</v>
      </c>
      <c r="DU48" s="52">
        <f t="shared" si="102"/>
        <v>0.4480834711217529</v>
      </c>
      <c r="DW48" s="54">
        <f t="shared" si="103"/>
        <v>0.4480834711217529</v>
      </c>
      <c r="DX48" s="54">
        <f t="shared" si="104"/>
        <v>0</v>
      </c>
      <c r="DY48" s="52">
        <v>0</v>
      </c>
    </row>
    <row r="49" spans="1:129" s="4" customFormat="1">
      <c r="A49" s="30"/>
      <c r="B49" s="31" t="s">
        <v>344</v>
      </c>
      <c r="C49" s="34" t="s">
        <v>171</v>
      </c>
      <c r="D49" s="85" t="s">
        <v>345</v>
      </c>
      <c r="E49" s="33">
        <v>0</v>
      </c>
      <c r="F49" s="33">
        <v>0</v>
      </c>
      <c r="G49" s="33">
        <v>19802.272400733669</v>
      </c>
      <c r="H49" s="33">
        <v>11872.789093775893</v>
      </c>
      <c r="I49" s="33">
        <v>0</v>
      </c>
      <c r="J49" s="33">
        <v>48845.600594343647</v>
      </c>
      <c r="K49" s="33">
        <v>0</v>
      </c>
      <c r="L49" s="33">
        <v>91826.694265364858</v>
      </c>
      <c r="M49" s="33">
        <v>462.78104696096227</v>
      </c>
      <c r="N49" s="33">
        <v>172810.13740117903</v>
      </c>
      <c r="O49" s="2">
        <v>172810.13740117906</v>
      </c>
      <c r="P49" s="2">
        <v>0</v>
      </c>
      <c r="Q49" s="2">
        <v>31675.061494509562</v>
      </c>
      <c r="R49" s="2" t="s">
        <v>172</v>
      </c>
      <c r="S49" s="33"/>
      <c r="T49" s="33">
        <v>0</v>
      </c>
      <c r="U49" s="33">
        <v>25224.177490636528</v>
      </c>
      <c r="V49" s="33">
        <v>12979.587045730705</v>
      </c>
      <c r="W49" s="33"/>
      <c r="X49" s="33">
        <v>53399.055580599859</v>
      </c>
      <c r="Y49" s="33"/>
      <c r="Z49" s="33">
        <v>52275.479793834471</v>
      </c>
      <c r="AA49" s="33"/>
      <c r="AB49" s="33"/>
      <c r="AC49" s="33">
        <f t="shared" si="86"/>
        <v>143878.29991080158</v>
      </c>
      <c r="AD49" s="2">
        <f t="shared" si="87"/>
        <v>143878.29991080158</v>
      </c>
      <c r="AE49" s="2">
        <f t="shared" si="88"/>
        <v>0</v>
      </c>
      <c r="AF49" s="2" t="s">
        <v>172</v>
      </c>
      <c r="AG49" s="33"/>
      <c r="AH49" s="33">
        <v>0</v>
      </c>
      <c r="AI49" s="33">
        <v>8673.543235215855</v>
      </c>
      <c r="AJ49" s="33">
        <v>10622.290456783088</v>
      </c>
      <c r="AK49" s="33"/>
      <c r="AL49" s="33">
        <v>43700.949536881293</v>
      </c>
      <c r="AM49" s="33"/>
      <c r="AN49" s="33">
        <v>52604.667996344702</v>
      </c>
      <c r="AO49" s="33"/>
      <c r="AP49" s="33"/>
      <c r="AQ49" s="33"/>
      <c r="AR49" s="33">
        <f t="shared" si="89"/>
        <v>115601.45122522494</v>
      </c>
      <c r="AS49" s="2">
        <f t="shared" si="90"/>
        <v>115601.45122522494</v>
      </c>
      <c r="AT49" s="2"/>
      <c r="AU49" s="2"/>
      <c r="AV49" s="2"/>
      <c r="AW49" s="2"/>
      <c r="AX49" s="2" t="s">
        <v>172</v>
      </c>
      <c r="AY49" s="33"/>
      <c r="AZ49" s="33">
        <v>0</v>
      </c>
      <c r="BA49" s="33">
        <v>0</v>
      </c>
      <c r="BB49" s="33">
        <v>6948.6411446030725</v>
      </c>
      <c r="BC49" s="33"/>
      <c r="BD49" s="33">
        <v>28587.263476333021</v>
      </c>
      <c r="BE49" s="33"/>
      <c r="BF49" s="33">
        <v>53701.411464029901</v>
      </c>
      <c r="BG49" s="33"/>
      <c r="BH49" s="33"/>
      <c r="BI49" s="33"/>
      <c r="BJ49" s="33">
        <f t="shared" si="91"/>
        <v>89237.316084966005</v>
      </c>
      <c r="BK49" s="2">
        <f t="shared" si="92"/>
        <v>89237.316084966005</v>
      </c>
      <c r="BL49" s="2"/>
      <c r="BM49" s="2"/>
      <c r="BN49" s="2"/>
      <c r="BO49" s="2"/>
      <c r="BP49" s="4" t="s">
        <v>173</v>
      </c>
      <c r="BQ49" s="52">
        <v>0</v>
      </c>
      <c r="BR49" s="52">
        <v>0</v>
      </c>
      <c r="BS49" s="52">
        <v>1.0581211924046157</v>
      </c>
      <c r="BT49" s="52">
        <v>0.55394551738093278</v>
      </c>
      <c r="BU49" s="52">
        <v>0</v>
      </c>
      <c r="BV49" s="52">
        <v>1.9516381537064709</v>
      </c>
      <c r="BW49" s="52">
        <v>0</v>
      </c>
      <c r="BX49" s="52">
        <v>12.607723925242615</v>
      </c>
      <c r="BY49" s="52">
        <v>2.3709582954017774E-2</v>
      </c>
      <c r="BZ49" s="52">
        <f t="shared" si="93"/>
        <v>16.195138371688653</v>
      </c>
      <c r="CA49" s="52">
        <f t="shared" si="94"/>
        <v>3.5874144464460382</v>
      </c>
      <c r="CB49" s="52">
        <v>0</v>
      </c>
      <c r="CC49" s="4" t="s">
        <v>173</v>
      </c>
      <c r="CD49" s="52">
        <v>0</v>
      </c>
      <c r="CE49" s="52">
        <v>0</v>
      </c>
      <c r="CF49" s="52">
        <v>1.3478370675695341</v>
      </c>
      <c r="CG49" s="52">
        <v>0.60558509080291623</v>
      </c>
      <c r="CH49" s="52">
        <v>0</v>
      </c>
      <c r="CI49" s="52">
        <v>2.1335725833015835</v>
      </c>
      <c r="CJ49" s="52"/>
      <c r="CK49" s="52">
        <v>2.0854471554730374</v>
      </c>
      <c r="CL49" s="52">
        <v>0</v>
      </c>
      <c r="CM49" s="52"/>
      <c r="CN49" s="52">
        <f t="shared" si="95"/>
        <v>6.1724418971470714</v>
      </c>
      <c r="CO49" s="52">
        <f t="shared" si="96"/>
        <v>4.086994741674034</v>
      </c>
      <c r="CP49" s="52">
        <v>0</v>
      </c>
      <c r="CQ49" s="4" t="s">
        <v>173</v>
      </c>
      <c r="CR49" s="52">
        <v>0</v>
      </c>
      <c r="CS49" s="52">
        <v>0</v>
      </c>
      <c r="CT49" s="52">
        <v>0.46346498647698425</v>
      </c>
      <c r="CU49" s="52">
        <v>0.49560133986865212</v>
      </c>
      <c r="CV49" s="52">
        <v>0</v>
      </c>
      <c r="CW49" s="52">
        <v>1.7460823376436305</v>
      </c>
      <c r="CX49" s="52"/>
      <c r="CY49" s="52">
        <v>0.19633554095919101</v>
      </c>
      <c r="CZ49" s="52">
        <v>0</v>
      </c>
      <c r="DA49" s="52"/>
      <c r="DB49" s="52">
        <f t="shared" si="97"/>
        <v>2.9014842049484582</v>
      </c>
      <c r="DC49" s="52">
        <f t="shared" si="98"/>
        <v>2.705148663989267</v>
      </c>
      <c r="DE49" s="55">
        <f t="shared" si="99"/>
        <v>2.705148663989267</v>
      </c>
      <c r="DF49" s="55">
        <f t="shared" si="100"/>
        <v>0</v>
      </c>
      <c r="DG49" s="56">
        <v>0</v>
      </c>
      <c r="DI49" s="4" t="s">
        <v>173</v>
      </c>
      <c r="DJ49" s="52">
        <v>0</v>
      </c>
      <c r="DK49" s="52">
        <v>0</v>
      </c>
      <c r="DL49" s="52">
        <v>0</v>
      </c>
      <c r="DM49" s="52">
        <v>0.32420087508835194</v>
      </c>
      <c r="DN49" s="52">
        <v>0</v>
      </c>
      <c r="DO49" s="52">
        <v>1.1422112417823715</v>
      </c>
      <c r="DP49" s="52"/>
      <c r="DQ49" s="52">
        <v>0</v>
      </c>
      <c r="DR49" s="52">
        <v>0</v>
      </c>
      <c r="DS49" s="52"/>
      <c r="DT49" s="52">
        <f t="shared" si="101"/>
        <v>1.4664121168707234</v>
      </c>
      <c r="DU49" s="52">
        <f t="shared" si="102"/>
        <v>1.4664121168707234</v>
      </c>
      <c r="DW49" s="54">
        <f t="shared" si="103"/>
        <v>1.4664121168707234</v>
      </c>
      <c r="DX49" s="54">
        <f t="shared" si="104"/>
        <v>0</v>
      </c>
      <c r="DY49" s="52">
        <v>0</v>
      </c>
    </row>
    <row r="50" spans="1:129" s="4" customFormat="1">
      <c r="A50" s="30" t="s">
        <v>174</v>
      </c>
      <c r="B50" s="31" t="s">
        <v>175</v>
      </c>
      <c r="C50" s="34" t="s">
        <v>176</v>
      </c>
      <c r="D50" s="85" t="s">
        <v>346</v>
      </c>
      <c r="E50" s="33">
        <v>0.13184045004396663</v>
      </c>
      <c r="F50" s="33">
        <v>0</v>
      </c>
      <c r="G50" s="33">
        <v>45220.250378151337</v>
      </c>
      <c r="H50" s="33">
        <v>3773.4179346329597</v>
      </c>
      <c r="I50" s="33">
        <v>0</v>
      </c>
      <c r="J50" s="33">
        <v>49231.632653403867</v>
      </c>
      <c r="K50" s="33">
        <v>0</v>
      </c>
      <c r="L50" s="33">
        <v>96776.668444940893</v>
      </c>
      <c r="M50" s="33">
        <v>1975.3985822933228</v>
      </c>
      <c r="N50" s="33">
        <v>196977.49983387245</v>
      </c>
      <c r="O50" s="2">
        <v>196977.49983387243</v>
      </c>
      <c r="P50" s="2">
        <v>0</v>
      </c>
      <c r="Q50" s="2">
        <v>48993.668312784299</v>
      </c>
      <c r="R50" s="2" t="s">
        <v>177</v>
      </c>
      <c r="S50" s="33"/>
      <c r="T50" s="33">
        <v>158.95953742077396</v>
      </c>
      <c r="U50" s="33">
        <v>12846.842742925497</v>
      </c>
      <c r="V50" s="33">
        <v>928.49338304075218</v>
      </c>
      <c r="W50" s="33"/>
      <c r="X50" s="33">
        <v>12114.015978838253</v>
      </c>
      <c r="Y50" s="33"/>
      <c r="Z50" s="33">
        <v>34761.240531530799</v>
      </c>
      <c r="AA50" s="33"/>
      <c r="AB50" s="33"/>
      <c r="AC50" s="33">
        <f t="shared" si="86"/>
        <v>60809.552173756078</v>
      </c>
      <c r="AD50" s="2">
        <f t="shared" si="87"/>
        <v>60809.552173756078</v>
      </c>
      <c r="AE50" s="2">
        <f t="shared" si="88"/>
        <v>0</v>
      </c>
      <c r="AF50" s="2" t="s">
        <v>177</v>
      </c>
      <c r="AG50" s="33"/>
      <c r="AH50" s="33">
        <v>39.324965462522755</v>
      </c>
      <c r="AI50" s="33">
        <v>3131.7273827476283</v>
      </c>
      <c r="AJ50" s="33">
        <v>678.46684946377286</v>
      </c>
      <c r="AK50" s="33"/>
      <c r="AL50" s="33">
        <v>8851.9298097738392</v>
      </c>
      <c r="AM50" s="33"/>
      <c r="AN50" s="33">
        <v>35848.535566794249</v>
      </c>
      <c r="AO50" s="33"/>
      <c r="AP50" s="33"/>
      <c r="AQ50" s="33"/>
      <c r="AR50" s="33">
        <f t="shared" si="89"/>
        <v>48549.984574242015</v>
      </c>
      <c r="AS50" s="2">
        <f t="shared" si="90"/>
        <v>48549.984574242015</v>
      </c>
      <c r="AT50" s="2"/>
      <c r="AU50" s="2"/>
      <c r="AV50" s="2"/>
      <c r="AW50" s="2"/>
      <c r="AX50" s="2" t="s">
        <v>177</v>
      </c>
      <c r="AY50" s="33"/>
      <c r="AZ50" s="33">
        <v>0</v>
      </c>
      <c r="BA50" s="33">
        <v>0</v>
      </c>
      <c r="BB50" s="33">
        <v>274.72768319164902</v>
      </c>
      <c r="BC50" s="33"/>
      <c r="BD50" s="33">
        <v>3584.3610787119414</v>
      </c>
      <c r="BE50" s="33"/>
      <c r="BF50" s="33">
        <v>34328.323470511794</v>
      </c>
      <c r="BG50" s="33"/>
      <c r="BH50" s="33"/>
      <c r="BI50" s="33"/>
      <c r="BJ50" s="33">
        <f t="shared" si="91"/>
        <v>38187.412232415387</v>
      </c>
      <c r="BK50" s="2">
        <f t="shared" si="92"/>
        <v>38187.412232415387</v>
      </c>
      <c r="BL50" s="2"/>
      <c r="BM50" s="2"/>
      <c r="BN50" s="2"/>
      <c r="BO50" s="2"/>
      <c r="BP50" s="4" t="s">
        <v>177</v>
      </c>
      <c r="BQ50" s="52">
        <v>9.182380479764844E-6</v>
      </c>
      <c r="BR50" s="52">
        <v>0</v>
      </c>
      <c r="BS50" s="52">
        <v>2.4533346927110173</v>
      </c>
      <c r="BT50" s="52">
        <v>0.1760574147042151</v>
      </c>
      <c r="BU50" s="52">
        <v>0</v>
      </c>
      <c r="BV50" s="52">
        <v>1.9664821565131334</v>
      </c>
      <c r="BW50" s="52">
        <v>0</v>
      </c>
      <c r="BX50" s="52">
        <v>13.282012457313726</v>
      </c>
      <c r="BY50" s="52">
        <v>7.9242377987752716E-2</v>
      </c>
      <c r="BZ50" s="52">
        <f t="shared" si="93"/>
        <v>17.957138281610327</v>
      </c>
      <c r="CA50" s="52">
        <f t="shared" si="94"/>
        <v>4.6751258242966003</v>
      </c>
      <c r="CB50" s="52">
        <v>0</v>
      </c>
      <c r="CC50" s="4" t="s">
        <v>177</v>
      </c>
      <c r="CD50" s="52">
        <v>0</v>
      </c>
      <c r="CE50" s="52">
        <v>1.1981307100766234E-2</v>
      </c>
      <c r="CF50" s="52">
        <v>0.69697988687497325</v>
      </c>
      <c r="CG50" s="52">
        <v>4.3320975153001678E-2</v>
      </c>
      <c r="CH50" s="52">
        <v>0</v>
      </c>
      <c r="CI50" s="52">
        <v>0.48387581280941644</v>
      </c>
      <c r="CJ50" s="52"/>
      <c r="CK50" s="52">
        <v>1.3867444253614478</v>
      </c>
      <c r="CL50" s="52">
        <v>0</v>
      </c>
      <c r="CM50" s="52"/>
      <c r="CN50" s="52">
        <f t="shared" si="95"/>
        <v>2.6229024072996054</v>
      </c>
      <c r="CO50" s="52">
        <f t="shared" si="96"/>
        <v>1.2361579819381576</v>
      </c>
      <c r="CP50" s="52">
        <v>0</v>
      </c>
      <c r="CQ50" s="4" t="s">
        <v>177</v>
      </c>
      <c r="CR50" s="52">
        <v>0</v>
      </c>
      <c r="CS50" s="52">
        <v>2.9640529632790416E-3</v>
      </c>
      <c r="CT50" s="52">
        <v>0.16990563678789453</v>
      </c>
      <c r="CU50" s="52">
        <v>3.1655417329415049E-2</v>
      </c>
      <c r="CV50" s="52">
        <v>0</v>
      </c>
      <c r="CW50" s="52">
        <v>0.35357677743850774</v>
      </c>
      <c r="CX50" s="52"/>
      <c r="CY50" s="52">
        <v>0.13379690227472615</v>
      </c>
      <c r="CZ50" s="52">
        <v>0</v>
      </c>
      <c r="DA50" s="52"/>
      <c r="DB50" s="52">
        <f t="shared" si="97"/>
        <v>0.69189878679382255</v>
      </c>
      <c r="DC50" s="52">
        <f t="shared" si="98"/>
        <v>0.55810188451909637</v>
      </c>
      <c r="DE50" s="55">
        <f t="shared" si="99"/>
        <v>0.55810188451909637</v>
      </c>
      <c r="DF50" s="55">
        <f t="shared" si="100"/>
        <v>0</v>
      </c>
      <c r="DG50" s="56">
        <v>0</v>
      </c>
      <c r="DI50" s="4" t="s">
        <v>177</v>
      </c>
      <c r="DJ50" s="52">
        <v>0</v>
      </c>
      <c r="DK50" s="52">
        <v>0</v>
      </c>
      <c r="DL50" s="52">
        <v>0</v>
      </c>
      <c r="DM50" s="52">
        <v>1.2818046261579853E-2</v>
      </c>
      <c r="DN50" s="52">
        <v>0</v>
      </c>
      <c r="DO50" s="52">
        <v>0.14317181299694032</v>
      </c>
      <c r="DP50" s="52"/>
      <c r="DQ50" s="52">
        <v>0</v>
      </c>
      <c r="DR50" s="52">
        <v>0</v>
      </c>
      <c r="DS50" s="52"/>
      <c r="DT50" s="52">
        <f t="shared" si="101"/>
        <v>0.15598985925852016</v>
      </c>
      <c r="DU50" s="52">
        <f t="shared" si="102"/>
        <v>0.15598985925852016</v>
      </c>
      <c r="DW50" s="54">
        <f t="shared" si="103"/>
        <v>0.15598985925852016</v>
      </c>
      <c r="DX50" s="54">
        <f t="shared" si="104"/>
        <v>0</v>
      </c>
      <c r="DY50" s="52">
        <v>0</v>
      </c>
    </row>
    <row r="51" spans="1:129" s="4" customFormat="1">
      <c r="A51" s="30" t="s">
        <v>178</v>
      </c>
      <c r="B51" s="31" t="s">
        <v>179</v>
      </c>
      <c r="C51" s="31" t="s">
        <v>180</v>
      </c>
      <c r="D51" s="85" t="s">
        <v>347</v>
      </c>
      <c r="E51" s="33">
        <v>0</v>
      </c>
      <c r="F51" s="33">
        <v>0.21791616368693845</v>
      </c>
      <c r="G51" s="33">
        <v>20567.736536019929</v>
      </c>
      <c r="H51" s="33">
        <v>1461.1756594384804</v>
      </c>
      <c r="I51" s="33">
        <v>0</v>
      </c>
      <c r="J51" s="33">
        <v>54702.872314876993</v>
      </c>
      <c r="K51" s="33">
        <v>0</v>
      </c>
      <c r="L51" s="33">
        <v>96099.063437145262</v>
      </c>
      <c r="M51" s="33">
        <v>638.67281204467201</v>
      </c>
      <c r="N51" s="33">
        <v>173469.73867568903</v>
      </c>
      <c r="O51" s="2">
        <v>173469.73867568903</v>
      </c>
      <c r="P51" s="2">
        <v>0</v>
      </c>
      <c r="Q51" s="2">
        <v>22028.912195458408</v>
      </c>
      <c r="R51" s="2" t="s">
        <v>181</v>
      </c>
      <c r="S51" s="33"/>
      <c r="T51" s="33">
        <v>159.92453929989088</v>
      </c>
      <c r="U51" s="33">
        <v>18290.248414750276</v>
      </c>
      <c r="V51" s="33">
        <v>896.71500397216539</v>
      </c>
      <c r="W51" s="33"/>
      <c r="X51" s="33">
        <v>33570.834586701545</v>
      </c>
      <c r="Y51" s="33"/>
      <c r="Z51" s="33">
        <v>137477.94507990847</v>
      </c>
      <c r="AA51" s="33"/>
      <c r="AB51" s="33"/>
      <c r="AC51" s="33">
        <f t="shared" si="86"/>
        <v>190395.66762463236</v>
      </c>
      <c r="AD51" s="2">
        <f t="shared" si="87"/>
        <v>190395.66762463236</v>
      </c>
      <c r="AE51" s="2">
        <f t="shared" si="88"/>
        <v>0</v>
      </c>
      <c r="AF51" s="2" t="s">
        <v>181</v>
      </c>
      <c r="AG51" s="33"/>
      <c r="AH51" s="33">
        <v>40.400173547435386</v>
      </c>
      <c r="AI51" s="33">
        <v>3847.2705814757842</v>
      </c>
      <c r="AJ51" s="33">
        <v>401.5078814155525</v>
      </c>
      <c r="AK51" s="33"/>
      <c r="AL51" s="33">
        <v>15031.48114233727</v>
      </c>
      <c r="AM51" s="33"/>
      <c r="AN51" s="33">
        <v>132096.14559860868</v>
      </c>
      <c r="AO51" s="33"/>
      <c r="AP51" s="33"/>
      <c r="AQ51" s="33"/>
      <c r="AR51" s="33">
        <f t="shared" si="89"/>
        <v>151416.80537738471</v>
      </c>
      <c r="AS51" s="2">
        <f t="shared" si="90"/>
        <v>151416.80537738471</v>
      </c>
      <c r="AT51" s="2"/>
      <c r="AU51" s="2"/>
      <c r="AV51" s="2"/>
      <c r="AW51" s="2"/>
      <c r="AX51" s="2" t="s">
        <v>181</v>
      </c>
      <c r="AY51" s="33"/>
      <c r="AZ51" s="33">
        <v>0</v>
      </c>
      <c r="BA51" s="33">
        <v>0</v>
      </c>
      <c r="BB51" s="33">
        <v>166.96325229975415</v>
      </c>
      <c r="BC51" s="33"/>
      <c r="BD51" s="33">
        <v>6250.6991632614063</v>
      </c>
      <c r="BE51" s="33"/>
      <c r="BF51" s="33">
        <v>115729.67890841025</v>
      </c>
      <c r="BG51" s="33"/>
      <c r="BH51" s="33"/>
      <c r="BI51" s="33"/>
      <c r="BJ51" s="33">
        <f t="shared" si="91"/>
        <v>122147.34132397141</v>
      </c>
      <c r="BK51" s="2">
        <f t="shared" si="92"/>
        <v>122147.34132397141</v>
      </c>
      <c r="BL51" s="2"/>
      <c r="BM51" s="2"/>
      <c r="BN51" s="2"/>
      <c r="BO51" s="2"/>
      <c r="BP51" s="4" t="s">
        <v>181</v>
      </c>
      <c r="BQ51" s="52">
        <v>0</v>
      </c>
      <c r="BR51" s="52">
        <v>3.3457905970351739E-5</v>
      </c>
      <c r="BS51" s="52">
        <v>2.0020616387118957</v>
      </c>
      <c r="BT51" s="52">
        <v>0.12251173192106145</v>
      </c>
      <c r="BU51" s="52">
        <v>0</v>
      </c>
      <c r="BV51" s="52">
        <v>3.9265035847814205</v>
      </c>
      <c r="BW51" s="52">
        <v>0</v>
      </c>
      <c r="BX51" s="52">
        <v>13.15119266230146</v>
      </c>
      <c r="BY51" s="52">
        <v>6.500142465983684E-2</v>
      </c>
      <c r="BZ51" s="52">
        <f t="shared" si="93"/>
        <v>19.267304500281643</v>
      </c>
      <c r="CA51" s="52">
        <f t="shared" si="94"/>
        <v>6.1161118379801831</v>
      </c>
      <c r="CB51" s="52">
        <v>0</v>
      </c>
      <c r="CC51" s="4" t="s">
        <v>181</v>
      </c>
      <c r="CD51" s="52">
        <v>0</v>
      </c>
      <c r="CE51" s="52">
        <v>2.4554122593377345E-2</v>
      </c>
      <c r="CF51" s="52">
        <v>1.7803711482570648</v>
      </c>
      <c r="CG51" s="52">
        <v>7.5184737349408892E-2</v>
      </c>
      <c r="CH51" s="52">
        <v>0</v>
      </c>
      <c r="CI51" s="52">
        <v>2.4096724133613554</v>
      </c>
      <c r="CJ51" s="52"/>
      <c r="CK51" s="52">
        <v>5.4844640477310023</v>
      </c>
      <c r="CL51" s="52">
        <v>0</v>
      </c>
      <c r="CM51" s="52"/>
      <c r="CN51" s="52">
        <f t="shared" si="95"/>
        <v>9.7742464692922084</v>
      </c>
      <c r="CO51" s="52">
        <f t="shared" si="96"/>
        <v>4.2897824215612061</v>
      </c>
      <c r="CP51" s="52">
        <v>0</v>
      </c>
      <c r="CQ51" s="4" t="s">
        <v>181</v>
      </c>
      <c r="CR51" s="52">
        <v>0</v>
      </c>
      <c r="CS51" s="52">
        <v>6.2028680427665033E-3</v>
      </c>
      <c r="CT51" s="52">
        <v>0.37449297502563128</v>
      </c>
      <c r="CU51" s="52">
        <v>3.3664279591872376E-2</v>
      </c>
      <c r="CV51" s="52">
        <v>0</v>
      </c>
      <c r="CW51" s="52">
        <v>1.0789408689589086</v>
      </c>
      <c r="CX51" s="52"/>
      <c r="CY51" s="52">
        <v>0.49302028113795959</v>
      </c>
      <c r="CZ51" s="52">
        <v>0</v>
      </c>
      <c r="DA51" s="52"/>
      <c r="DB51" s="52">
        <f t="shared" si="97"/>
        <v>1.9863212727571384</v>
      </c>
      <c r="DC51" s="52">
        <f t="shared" si="98"/>
        <v>1.4933009916191788</v>
      </c>
      <c r="DE51" s="55">
        <f t="shared" si="99"/>
        <v>1.4933009916191788</v>
      </c>
      <c r="DF51" s="55">
        <f t="shared" si="100"/>
        <v>0</v>
      </c>
      <c r="DG51" s="56">
        <v>0</v>
      </c>
      <c r="DI51" s="4" t="s">
        <v>181</v>
      </c>
      <c r="DJ51" s="52">
        <v>0</v>
      </c>
      <c r="DK51" s="52">
        <v>0</v>
      </c>
      <c r="DL51" s="52">
        <v>0</v>
      </c>
      <c r="DM51" s="52">
        <v>1.399897204301687E-2</v>
      </c>
      <c r="DN51" s="52">
        <v>0</v>
      </c>
      <c r="DO51" s="52">
        <v>0.44866734841017325</v>
      </c>
      <c r="DP51" s="52"/>
      <c r="DQ51" s="52">
        <v>0</v>
      </c>
      <c r="DR51" s="52">
        <v>0</v>
      </c>
      <c r="DS51" s="52"/>
      <c r="DT51" s="52">
        <f t="shared" si="101"/>
        <v>0.46266632045319012</v>
      </c>
      <c r="DU51" s="52">
        <f t="shared" si="102"/>
        <v>0.46266632045319012</v>
      </c>
      <c r="DW51" s="54">
        <f t="shared" si="103"/>
        <v>0.46266632045319012</v>
      </c>
      <c r="DX51" s="54">
        <f t="shared" si="104"/>
        <v>0</v>
      </c>
      <c r="DY51" s="52">
        <v>0</v>
      </c>
    </row>
    <row r="52" spans="1:129" s="4" customFormat="1">
      <c r="A52" s="30"/>
      <c r="B52" s="34"/>
      <c r="C52" s="34" t="s">
        <v>182</v>
      </c>
      <c r="D52" s="85" t="s">
        <v>348</v>
      </c>
      <c r="E52" s="33">
        <v>0</v>
      </c>
      <c r="F52" s="33">
        <v>0</v>
      </c>
      <c r="G52" s="33">
        <v>18369.676073833973</v>
      </c>
      <c r="H52" s="33">
        <v>1766.6859770062133</v>
      </c>
      <c r="I52" s="33">
        <v>0</v>
      </c>
      <c r="J52" s="33">
        <v>34569.537704733804</v>
      </c>
      <c r="K52" s="33">
        <v>0</v>
      </c>
      <c r="L52" s="33">
        <v>65739.763987407379</v>
      </c>
      <c r="M52" s="33">
        <v>2421.363912678738</v>
      </c>
      <c r="N52" s="33">
        <v>122867.0276556601</v>
      </c>
      <c r="O52" s="2">
        <v>122867.0276556601</v>
      </c>
      <c r="P52" s="2">
        <v>0</v>
      </c>
      <c r="Q52" s="2">
        <v>20136.362050840187</v>
      </c>
      <c r="R52" s="2" t="s">
        <v>183</v>
      </c>
      <c r="S52" s="33"/>
      <c r="T52" s="33">
        <v>0</v>
      </c>
      <c r="U52" s="33">
        <v>31026.7428525623</v>
      </c>
      <c r="V52" s="33">
        <v>3173.8521807786387</v>
      </c>
      <c r="W52" s="33"/>
      <c r="X52" s="33">
        <v>62104.190592266685</v>
      </c>
      <c r="Y52" s="33"/>
      <c r="Z52" s="33">
        <v>141094.91356401902</v>
      </c>
      <c r="AA52" s="33"/>
      <c r="AB52" s="33"/>
      <c r="AC52" s="33">
        <f t="shared" si="86"/>
        <v>237399.69918962664</v>
      </c>
      <c r="AD52" s="2">
        <f t="shared" si="87"/>
        <v>237399.69918962664</v>
      </c>
      <c r="AE52" s="2">
        <f t="shared" si="88"/>
        <v>0</v>
      </c>
      <c r="AF52" s="2" t="s">
        <v>183</v>
      </c>
      <c r="AG52" s="33"/>
      <c r="AH52" s="33">
        <v>0</v>
      </c>
      <c r="AI52" s="33">
        <v>9130.6103771953785</v>
      </c>
      <c r="AJ52" s="33">
        <v>2311.9498111707712</v>
      </c>
      <c r="AK52" s="33"/>
      <c r="AL52" s="33">
        <v>45238.959956061895</v>
      </c>
      <c r="AM52" s="33"/>
      <c r="AN52" s="33">
        <v>135966.34213150927</v>
      </c>
      <c r="AO52" s="33"/>
      <c r="AP52" s="33"/>
      <c r="AQ52" s="33"/>
      <c r="AR52" s="33">
        <f t="shared" si="89"/>
        <v>192647.86227593731</v>
      </c>
      <c r="AS52" s="2">
        <f t="shared" si="90"/>
        <v>192647.86227593731</v>
      </c>
      <c r="AT52" s="2"/>
      <c r="AU52" s="2"/>
      <c r="AV52" s="2"/>
      <c r="AW52" s="2"/>
      <c r="AX52" s="2" t="s">
        <v>183</v>
      </c>
      <c r="AY52" s="33"/>
      <c r="AZ52" s="33">
        <v>0</v>
      </c>
      <c r="BA52" s="33">
        <v>0</v>
      </c>
      <c r="BB52" s="33">
        <v>1684.4531226283193</v>
      </c>
      <c r="BC52" s="33"/>
      <c r="BD52" s="33">
        <v>32960.450522867024</v>
      </c>
      <c r="BE52" s="33"/>
      <c r="BF52" s="33">
        <v>121030.81894296172</v>
      </c>
      <c r="BG52" s="33"/>
      <c r="BH52" s="33"/>
      <c r="BI52" s="33"/>
      <c r="BJ52" s="33">
        <f t="shared" si="91"/>
        <v>155675.72258845705</v>
      </c>
      <c r="BK52" s="2">
        <f t="shared" si="92"/>
        <v>155675.72258845705</v>
      </c>
      <c r="BL52" s="2"/>
      <c r="BM52" s="2"/>
      <c r="BN52" s="2"/>
      <c r="BO52" s="2"/>
      <c r="BP52" s="4" t="s">
        <v>183</v>
      </c>
      <c r="BQ52" s="52">
        <v>0</v>
      </c>
      <c r="BR52" s="52">
        <v>0</v>
      </c>
      <c r="BS52" s="52">
        <v>1.789119414575578</v>
      </c>
      <c r="BT52" s="52">
        <v>0.14812878898538082</v>
      </c>
      <c r="BU52" s="52">
        <v>0</v>
      </c>
      <c r="BV52" s="52">
        <v>2.4816066854037828</v>
      </c>
      <c r="BW52" s="52">
        <v>0</v>
      </c>
      <c r="BX52" s="52">
        <v>9.0337102109652641</v>
      </c>
      <c r="BY52" s="52">
        <v>0.234553879916131</v>
      </c>
      <c r="BZ52" s="52">
        <f t="shared" si="93"/>
        <v>13.687118979846137</v>
      </c>
      <c r="CA52" s="52">
        <f t="shared" si="94"/>
        <v>4.6534087688808725</v>
      </c>
      <c r="CB52" s="52">
        <v>0</v>
      </c>
      <c r="CC52" s="4" t="s">
        <v>183</v>
      </c>
      <c r="CD52" s="52">
        <v>0</v>
      </c>
      <c r="CE52" s="52">
        <v>0</v>
      </c>
      <c r="CF52" s="52">
        <v>3.0218577499922969</v>
      </c>
      <c r="CG52" s="52">
        <v>0.26611343842443158</v>
      </c>
      <c r="CH52" s="52">
        <v>0</v>
      </c>
      <c r="CI52" s="52">
        <v>4.4582075664915655</v>
      </c>
      <c r="CJ52" s="52"/>
      <c r="CK52" s="52">
        <v>5.6287572549167084</v>
      </c>
      <c r="CL52" s="52">
        <v>0</v>
      </c>
      <c r="CM52" s="52"/>
      <c r="CN52" s="52">
        <f t="shared" si="95"/>
        <v>13.374936009825003</v>
      </c>
      <c r="CO52" s="52">
        <f t="shared" si="96"/>
        <v>7.7461787549082946</v>
      </c>
      <c r="CP52" s="52">
        <v>0</v>
      </c>
      <c r="CQ52" s="4" t="s">
        <v>183</v>
      </c>
      <c r="CR52" s="52">
        <v>0</v>
      </c>
      <c r="CS52" s="52">
        <v>0</v>
      </c>
      <c r="CT52" s="52">
        <v>0.88927819016005238</v>
      </c>
      <c r="CU52" s="52">
        <v>0.19384674479844005</v>
      </c>
      <c r="CV52" s="52">
        <v>0</v>
      </c>
      <c r="CW52" s="52">
        <v>3.2475211681035607</v>
      </c>
      <c r="CX52" s="52"/>
      <c r="CY52" s="52">
        <v>0.50746495228307975</v>
      </c>
      <c r="CZ52" s="52">
        <v>0</v>
      </c>
      <c r="DA52" s="52"/>
      <c r="DB52" s="52">
        <f t="shared" si="97"/>
        <v>4.8381110553451325</v>
      </c>
      <c r="DC52" s="52">
        <f t="shared" si="98"/>
        <v>4.3306461030620529</v>
      </c>
      <c r="DE52" s="55">
        <f t="shared" si="99"/>
        <v>4.3306461030620529</v>
      </c>
      <c r="DF52" s="55">
        <f t="shared" si="100"/>
        <v>0</v>
      </c>
      <c r="DG52" s="56">
        <v>0</v>
      </c>
      <c r="DI52" s="4" t="s">
        <v>183</v>
      </c>
      <c r="DJ52" s="52">
        <v>0</v>
      </c>
      <c r="DK52" s="52">
        <v>0</v>
      </c>
      <c r="DL52" s="52">
        <v>0</v>
      </c>
      <c r="DM52" s="52">
        <v>0.14123392861271269</v>
      </c>
      <c r="DN52" s="52">
        <v>0</v>
      </c>
      <c r="DO52" s="52">
        <v>2.3660968529604252</v>
      </c>
      <c r="DP52" s="52"/>
      <c r="DQ52" s="52">
        <v>0</v>
      </c>
      <c r="DR52" s="52">
        <v>0</v>
      </c>
      <c r="DS52" s="52"/>
      <c r="DT52" s="52">
        <f t="shared" si="101"/>
        <v>2.5073307815731378</v>
      </c>
      <c r="DU52" s="52">
        <f t="shared" si="102"/>
        <v>2.5073307815731378</v>
      </c>
      <c r="DW52" s="54">
        <f t="shared" si="103"/>
        <v>2.5073307815731378</v>
      </c>
      <c r="DX52" s="54">
        <f t="shared" si="104"/>
        <v>0</v>
      </c>
      <c r="DY52" s="52">
        <v>0</v>
      </c>
    </row>
    <row r="53" spans="1:129" s="4" customFormat="1">
      <c r="A53" s="30"/>
      <c r="B53" s="34"/>
      <c r="C53" s="34"/>
      <c r="D53" s="85" t="s">
        <v>349</v>
      </c>
      <c r="E53" s="33">
        <v>0</v>
      </c>
      <c r="F53" s="33">
        <v>0</v>
      </c>
      <c r="G53" s="33">
        <v>33534.876555079019</v>
      </c>
      <c r="H53" s="33">
        <v>5927</v>
      </c>
      <c r="I53" s="33">
        <v>0</v>
      </c>
      <c r="J53" s="33">
        <v>35324.285873148066</v>
      </c>
      <c r="K53" s="33">
        <v>0</v>
      </c>
      <c r="L53" s="33">
        <v>66494.566625124309</v>
      </c>
      <c r="M53" s="33">
        <v>308.87884671925718</v>
      </c>
      <c r="N53" s="33">
        <v>141589.60790007064</v>
      </c>
      <c r="O53" s="2">
        <v>141589.60790007067</v>
      </c>
      <c r="P53" s="2">
        <v>0</v>
      </c>
      <c r="Q53" s="2">
        <v>39461.876555079019</v>
      </c>
      <c r="R53" s="2" t="s">
        <v>383</v>
      </c>
      <c r="S53" s="33"/>
      <c r="T53" s="33">
        <v>292.77461151872097</v>
      </c>
      <c r="U53" s="33">
        <v>23661.552205867003</v>
      </c>
      <c r="V53" s="33">
        <v>3451.4804411259774</v>
      </c>
      <c r="W53" s="33"/>
      <c r="X53" s="33">
        <v>20570.454156894419</v>
      </c>
      <c r="Y53" s="33"/>
      <c r="Z53" s="33">
        <v>64023.894744913363</v>
      </c>
      <c r="AA53" s="33"/>
      <c r="AB53" s="33"/>
      <c r="AC53" s="33">
        <f t="shared" si="86"/>
        <v>112000.15616031949</v>
      </c>
      <c r="AD53" s="2">
        <f t="shared" si="87"/>
        <v>112000.15616031949</v>
      </c>
      <c r="AE53" s="2">
        <f t="shared" si="88"/>
        <v>0</v>
      </c>
      <c r="AF53" s="2" t="s">
        <v>383</v>
      </c>
      <c r="AG53" s="33"/>
      <c r="AH53" s="33">
        <v>72.560320056525555</v>
      </c>
      <c r="AI53" s="33">
        <v>5778.4956337346339</v>
      </c>
      <c r="AJ53" s="33">
        <v>2526.6160626913443</v>
      </c>
      <c r="AK53" s="33"/>
      <c r="AL53" s="33">
        <v>15058.361412214752</v>
      </c>
      <c r="AM53" s="33"/>
      <c r="AN53" s="33">
        <v>66145.797807840223</v>
      </c>
      <c r="AO53" s="33"/>
      <c r="AP53" s="33"/>
      <c r="AQ53" s="33"/>
      <c r="AR53" s="33">
        <f t="shared" si="89"/>
        <v>89581.831236537488</v>
      </c>
      <c r="AS53" s="2">
        <f t="shared" si="90"/>
        <v>89581.831236537488</v>
      </c>
      <c r="AT53" s="2"/>
      <c r="AU53" s="2"/>
      <c r="AV53" s="2"/>
      <c r="AW53" s="2"/>
      <c r="AX53" s="2" t="s">
        <v>383</v>
      </c>
      <c r="AY53" s="33"/>
      <c r="AZ53" s="33">
        <v>0</v>
      </c>
      <c r="BA53" s="33">
        <v>0</v>
      </c>
      <c r="BB53" s="33">
        <v>792.98134187848655</v>
      </c>
      <c r="BC53" s="33"/>
      <c r="BD53" s="33">
        <v>4726.0839569070731</v>
      </c>
      <c r="BE53" s="33"/>
      <c r="BF53" s="33">
        <v>49094.55846206854</v>
      </c>
      <c r="BG53" s="33"/>
      <c r="BH53" s="33"/>
      <c r="BI53" s="33"/>
      <c r="BJ53" s="33">
        <f t="shared" si="91"/>
        <v>54613.623760854098</v>
      </c>
      <c r="BK53" s="2">
        <f t="shared" si="92"/>
        <v>54613.623760854098</v>
      </c>
      <c r="BL53" s="2"/>
      <c r="BM53" s="2"/>
      <c r="BN53" s="2"/>
      <c r="BO53" s="2"/>
      <c r="BP53" s="4" t="s">
        <v>383</v>
      </c>
      <c r="BQ53" s="52">
        <v>0</v>
      </c>
      <c r="BR53" s="52">
        <v>0</v>
      </c>
      <c r="BS53" s="52">
        <v>3.2586254709688274</v>
      </c>
      <c r="BT53" s="52">
        <v>0.49695596521154123</v>
      </c>
      <c r="BU53" s="52">
        <v>0</v>
      </c>
      <c r="BV53" s="52">
        <v>2.5359543157819844</v>
      </c>
      <c r="BW53" s="52">
        <v>0</v>
      </c>
      <c r="BX53" s="52">
        <v>9.1739769121196133</v>
      </c>
      <c r="BY53" s="52">
        <v>2.654757391573247E-2</v>
      </c>
      <c r="BZ53" s="52">
        <f>SUM(BQ53:BY53)</f>
        <v>15.492060237997698</v>
      </c>
      <c r="CA53" s="52">
        <f t="shared" si="94"/>
        <v>6.3180833258780851</v>
      </c>
      <c r="CB53" s="52">
        <v>0</v>
      </c>
      <c r="CC53" s="4" t="s">
        <v>383</v>
      </c>
      <c r="CD53" s="52">
        <v>0</v>
      </c>
      <c r="CE53" s="52">
        <v>3.9655540194231786E-2</v>
      </c>
      <c r="CF53" s="52">
        <v>2.2992223207995992</v>
      </c>
      <c r="CG53" s="52">
        <v>0.28939325021571055</v>
      </c>
      <c r="CH53" s="52">
        <v>0</v>
      </c>
      <c r="CI53" s="52">
        <v>1.4767667826068043</v>
      </c>
      <c r="CJ53" s="52"/>
      <c r="CK53" s="52">
        <v>2.5541314915646609</v>
      </c>
      <c r="CL53" s="52">
        <v>0</v>
      </c>
      <c r="CM53" s="52"/>
      <c r="CN53" s="52">
        <f t="shared" si="95"/>
        <v>6.6591693853810066</v>
      </c>
      <c r="CO53" s="52">
        <f t="shared" si="96"/>
        <v>4.1050378938163457</v>
      </c>
      <c r="CP53" s="52">
        <v>0</v>
      </c>
      <c r="CQ53" s="4" t="s">
        <v>383</v>
      </c>
      <c r="CR53" s="52">
        <v>0</v>
      </c>
      <c r="CS53" s="52">
        <v>9.8281018069897794E-3</v>
      </c>
      <c r="CT53" s="52">
        <v>0.56150357449632382</v>
      </c>
      <c r="CU53" s="52">
        <v>0.21184695868968467</v>
      </c>
      <c r="CV53" s="52">
        <v>0</v>
      </c>
      <c r="CW53" s="52">
        <v>1.0810499255114221</v>
      </c>
      <c r="CX53" s="52"/>
      <c r="CY53" s="52">
        <v>0.24687487801808733</v>
      </c>
      <c r="CZ53" s="52">
        <v>0</v>
      </c>
      <c r="DA53" s="52"/>
      <c r="DB53" s="52">
        <f>SUM(CR53:DA53)</f>
        <v>2.1111034385225076</v>
      </c>
      <c r="DC53" s="52">
        <f t="shared" si="98"/>
        <v>1.8642285605044204</v>
      </c>
      <c r="DE53" s="55">
        <f t="shared" si="99"/>
        <v>1.8642285605044204</v>
      </c>
      <c r="DF53" s="55">
        <f t="shared" si="100"/>
        <v>0</v>
      </c>
      <c r="DG53" s="56">
        <v>0</v>
      </c>
      <c r="DI53" s="4" t="s">
        <v>383</v>
      </c>
      <c r="DJ53" s="52">
        <v>0</v>
      </c>
      <c r="DK53" s="52">
        <v>0</v>
      </c>
      <c r="DL53" s="52">
        <v>0</v>
      </c>
      <c r="DM53" s="52">
        <v>6.6488410350593288E-2</v>
      </c>
      <c r="DN53" s="52">
        <v>0</v>
      </c>
      <c r="DO53" s="52">
        <v>0.33928875590877972</v>
      </c>
      <c r="DP53" s="52"/>
      <c r="DQ53" s="52">
        <v>0</v>
      </c>
      <c r="DR53" s="52">
        <v>0</v>
      </c>
      <c r="DS53" s="52"/>
      <c r="DT53" s="52">
        <f>SUM(DJ53:DS53)</f>
        <v>0.40577716625937299</v>
      </c>
      <c r="DU53" s="52">
        <f t="shared" si="102"/>
        <v>0.40577716625937299</v>
      </c>
      <c r="DW53" s="54">
        <f t="shared" si="103"/>
        <v>0.40577716625937299</v>
      </c>
      <c r="DX53" s="54">
        <f t="shared" si="104"/>
        <v>0</v>
      </c>
      <c r="DY53" s="52">
        <v>0</v>
      </c>
    </row>
    <row r="54" spans="1:129" s="4" customFormat="1">
      <c r="A54" s="30" t="s">
        <v>184</v>
      </c>
      <c r="B54" s="34" t="s">
        <v>185</v>
      </c>
      <c r="C54" s="34" t="s">
        <v>186</v>
      </c>
      <c r="D54" s="85" t="s">
        <v>350</v>
      </c>
      <c r="E54" s="33">
        <v>0</v>
      </c>
      <c r="F54" s="33">
        <v>0</v>
      </c>
      <c r="G54" s="33">
        <v>760.32500919395625</v>
      </c>
      <c r="H54" s="33">
        <v>74.525829327830877</v>
      </c>
      <c r="I54" s="33">
        <v>0</v>
      </c>
      <c r="J54" s="33">
        <v>462.5728562292914</v>
      </c>
      <c r="K54" s="33">
        <v>0</v>
      </c>
      <c r="L54" s="33">
        <v>4873.5847696570345</v>
      </c>
      <c r="M54" s="33">
        <v>124.84155760469885</v>
      </c>
      <c r="N54" s="33">
        <v>6295.8500220128117</v>
      </c>
      <c r="O54" s="2">
        <v>6295.8500220128117</v>
      </c>
      <c r="P54" s="2">
        <v>0</v>
      </c>
      <c r="Q54" s="2">
        <v>834.85083852178718</v>
      </c>
      <c r="R54" s="2" t="s">
        <v>187</v>
      </c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>
        <f t="shared" si="86"/>
        <v>0</v>
      </c>
      <c r="AD54" s="2">
        <f t="shared" si="87"/>
        <v>0</v>
      </c>
      <c r="AE54" s="2">
        <f t="shared" si="88"/>
        <v>0</v>
      </c>
      <c r="AF54" s="2" t="s">
        <v>187</v>
      </c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>
        <f t="shared" si="89"/>
        <v>0</v>
      </c>
      <c r="AS54" s="2">
        <f t="shared" si="90"/>
        <v>0</v>
      </c>
      <c r="AT54" s="2"/>
      <c r="AU54" s="2"/>
      <c r="AV54" s="2"/>
      <c r="AW54" s="2"/>
      <c r="AX54" s="2" t="s">
        <v>187</v>
      </c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>
        <f t="shared" si="91"/>
        <v>0</v>
      </c>
      <c r="BK54" s="2">
        <f t="shared" si="92"/>
        <v>0</v>
      </c>
      <c r="BL54" s="2"/>
      <c r="BM54" s="2"/>
      <c r="BN54" s="2"/>
      <c r="BO54" s="2"/>
      <c r="BP54" s="4" t="s">
        <v>187</v>
      </c>
      <c r="BQ54" s="52">
        <v>0</v>
      </c>
      <c r="BR54" s="52">
        <v>0</v>
      </c>
      <c r="BS54" s="52">
        <v>4.9160652252605387E-2</v>
      </c>
      <c r="BT54" s="52">
        <v>4.1746272832278867E-3</v>
      </c>
      <c r="BU54" s="52">
        <v>0</v>
      </c>
      <c r="BV54" s="52">
        <v>2.2187544956554662E-2</v>
      </c>
      <c r="BW54" s="52">
        <v>0</v>
      </c>
      <c r="BX54" s="52">
        <v>0.67077159939467657</v>
      </c>
      <c r="BY54" s="52">
        <v>3.6223290602793341E-3</v>
      </c>
      <c r="BZ54" s="52">
        <f>SUM(BQ54:BY54)</f>
        <v>0.74991675294734383</v>
      </c>
      <c r="CA54" s="52">
        <f t="shared" si="94"/>
        <v>7.9145153552667269E-2</v>
      </c>
      <c r="CB54" s="52">
        <v>0</v>
      </c>
      <c r="CC54" s="4" t="s">
        <v>187</v>
      </c>
      <c r="CD54" s="52">
        <v>0</v>
      </c>
      <c r="CE54" s="52">
        <v>0</v>
      </c>
      <c r="CF54" s="52">
        <v>0</v>
      </c>
      <c r="CG54" s="52">
        <v>0</v>
      </c>
      <c r="CH54" s="52">
        <v>0</v>
      </c>
      <c r="CI54" s="52">
        <v>0</v>
      </c>
      <c r="CJ54" s="52"/>
      <c r="CK54" s="52">
        <v>0</v>
      </c>
      <c r="CL54" s="52">
        <v>0</v>
      </c>
      <c r="CM54" s="52"/>
      <c r="CN54" s="52">
        <f t="shared" si="95"/>
        <v>0</v>
      </c>
      <c r="CO54" s="52">
        <f t="shared" si="96"/>
        <v>0</v>
      </c>
      <c r="CP54" s="52">
        <v>0</v>
      </c>
      <c r="CQ54" s="4" t="s">
        <v>187</v>
      </c>
      <c r="CR54" s="52">
        <v>0</v>
      </c>
      <c r="CS54" s="52">
        <v>0</v>
      </c>
      <c r="CT54" s="52">
        <v>0</v>
      </c>
      <c r="CU54" s="52">
        <v>0</v>
      </c>
      <c r="CV54" s="52">
        <v>0</v>
      </c>
      <c r="CW54" s="52">
        <v>0</v>
      </c>
      <c r="CX54" s="52"/>
      <c r="CY54" s="52">
        <v>0</v>
      </c>
      <c r="CZ54" s="52">
        <v>0</v>
      </c>
      <c r="DA54" s="52"/>
      <c r="DB54" s="52">
        <f>SUM(CR54:DA54)</f>
        <v>0</v>
      </c>
      <c r="DC54" s="52">
        <f t="shared" si="98"/>
        <v>0</v>
      </c>
      <c r="DE54" s="55">
        <f t="shared" si="99"/>
        <v>0</v>
      </c>
      <c r="DF54" s="55">
        <f t="shared" si="100"/>
        <v>0</v>
      </c>
      <c r="DG54" s="56">
        <v>0</v>
      </c>
      <c r="DI54" s="4" t="s">
        <v>187</v>
      </c>
      <c r="DJ54" s="52">
        <v>0</v>
      </c>
      <c r="DK54" s="52">
        <v>0</v>
      </c>
      <c r="DL54" s="52">
        <v>0</v>
      </c>
      <c r="DM54" s="52">
        <v>0</v>
      </c>
      <c r="DN54" s="52">
        <v>0</v>
      </c>
      <c r="DO54" s="52">
        <v>0</v>
      </c>
      <c r="DP54" s="52"/>
      <c r="DQ54" s="52">
        <v>0</v>
      </c>
      <c r="DR54" s="52">
        <v>0</v>
      </c>
      <c r="DS54" s="52"/>
      <c r="DT54" s="52">
        <f>SUM(DJ54:DS54)</f>
        <v>0</v>
      </c>
      <c r="DU54" s="52">
        <f t="shared" si="102"/>
        <v>0</v>
      </c>
      <c r="DW54" s="54">
        <f t="shared" si="103"/>
        <v>0</v>
      </c>
      <c r="DX54" s="54">
        <f t="shared" si="104"/>
        <v>0</v>
      </c>
      <c r="DY54" s="52">
        <v>0</v>
      </c>
    </row>
    <row r="55" spans="1:129" s="4" customFormat="1">
      <c r="A55" s="30" t="s">
        <v>188</v>
      </c>
      <c r="B55" s="34" t="s">
        <v>189</v>
      </c>
      <c r="C55" s="34" t="s">
        <v>190</v>
      </c>
      <c r="D55" s="85" t="s">
        <v>351</v>
      </c>
      <c r="E55" s="33">
        <v>1.276159454941922</v>
      </c>
      <c r="F55" s="33">
        <v>3940.2642198372678</v>
      </c>
      <c r="G55" s="33">
        <v>41196.175724158922</v>
      </c>
      <c r="H55" s="33">
        <v>1008.2905606841935</v>
      </c>
      <c r="I55" s="33">
        <v>0</v>
      </c>
      <c r="J55" s="33">
        <v>15883.834146722958</v>
      </c>
      <c r="K55" s="33">
        <v>0</v>
      </c>
      <c r="L55" s="33">
        <v>117429.59615919576</v>
      </c>
      <c r="M55" s="33">
        <v>9449.3487360062063</v>
      </c>
      <c r="N55" s="33">
        <v>188908.78570606027</v>
      </c>
      <c r="O55" s="2">
        <v>188908.78570606024</v>
      </c>
      <c r="P55" s="2">
        <v>0</v>
      </c>
      <c r="Q55" s="2">
        <v>42204.466284843118</v>
      </c>
      <c r="R55" s="2" t="s">
        <v>191</v>
      </c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>
        <f t="shared" si="86"/>
        <v>0</v>
      </c>
      <c r="AD55" s="2">
        <f t="shared" si="87"/>
        <v>0</v>
      </c>
      <c r="AE55" s="2">
        <f t="shared" si="88"/>
        <v>0</v>
      </c>
      <c r="AF55" s="2" t="s">
        <v>191</v>
      </c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>
        <f t="shared" si="89"/>
        <v>0</v>
      </c>
      <c r="AS55" s="2">
        <f t="shared" si="90"/>
        <v>0</v>
      </c>
      <c r="AT55" s="2"/>
      <c r="AU55" s="2"/>
      <c r="AV55" s="2"/>
      <c r="AW55" s="2"/>
      <c r="AX55" s="2" t="s">
        <v>191</v>
      </c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>
        <f t="shared" si="91"/>
        <v>0</v>
      </c>
      <c r="BK55" s="2">
        <f t="shared" si="92"/>
        <v>0</v>
      </c>
      <c r="BL55" s="2"/>
      <c r="BM55" s="2"/>
      <c r="BN55" s="2"/>
      <c r="BO55" s="2"/>
      <c r="BP55" s="4" t="s">
        <v>191</v>
      </c>
      <c r="BQ55" s="52">
        <v>8.8881535706364975E-5</v>
      </c>
      <c r="BR55" s="52">
        <v>0.33784711107622223</v>
      </c>
      <c r="BS55" s="52">
        <v>2.2183898227068113</v>
      </c>
      <c r="BT55" s="52">
        <v>4.7044655167050864E-2</v>
      </c>
      <c r="BU55" s="52">
        <v>0</v>
      </c>
      <c r="BV55" s="52">
        <v>0.63440170247858052</v>
      </c>
      <c r="BW55" s="52">
        <v>0</v>
      </c>
      <c r="BX55" s="52">
        <v>15.501092120757674</v>
      </c>
      <c r="BY55" s="52">
        <v>8.4315863889726325E-2</v>
      </c>
      <c r="BZ55" s="52">
        <f>SUM(BQ55:BY55)</f>
        <v>18.823180157611773</v>
      </c>
      <c r="CA55" s="52">
        <f t="shared" si="94"/>
        <v>3.3220880368540993</v>
      </c>
      <c r="CB55" s="52">
        <v>0</v>
      </c>
      <c r="CC55" s="4" t="s">
        <v>191</v>
      </c>
      <c r="CD55" s="52">
        <v>0</v>
      </c>
      <c r="CE55" s="52">
        <v>0</v>
      </c>
      <c r="CF55" s="52">
        <v>0</v>
      </c>
      <c r="CG55" s="52">
        <v>0</v>
      </c>
      <c r="CH55" s="52">
        <v>0</v>
      </c>
      <c r="CI55" s="52">
        <v>0</v>
      </c>
      <c r="CJ55" s="52"/>
      <c r="CK55" s="52">
        <v>0</v>
      </c>
      <c r="CL55" s="52">
        <v>0</v>
      </c>
      <c r="CM55" s="52"/>
      <c r="CN55" s="52">
        <f t="shared" si="95"/>
        <v>0</v>
      </c>
      <c r="CO55" s="52">
        <f t="shared" si="96"/>
        <v>0</v>
      </c>
      <c r="CP55" s="52">
        <v>0</v>
      </c>
      <c r="CQ55" s="4" t="s">
        <v>191</v>
      </c>
      <c r="CR55" s="52">
        <v>0</v>
      </c>
      <c r="CS55" s="52">
        <v>0</v>
      </c>
      <c r="CT55" s="52">
        <v>0</v>
      </c>
      <c r="CU55" s="52">
        <v>0</v>
      </c>
      <c r="CV55" s="52">
        <v>0</v>
      </c>
      <c r="CW55" s="52">
        <v>0</v>
      </c>
      <c r="CX55" s="52"/>
      <c r="CY55" s="52">
        <v>0</v>
      </c>
      <c r="CZ55" s="52">
        <v>0</v>
      </c>
      <c r="DA55" s="52"/>
      <c r="DB55" s="52">
        <f>SUM(CR55:DA55)</f>
        <v>0</v>
      </c>
      <c r="DC55" s="52">
        <f t="shared" si="98"/>
        <v>0</v>
      </c>
      <c r="DE55" s="55">
        <f t="shared" si="99"/>
        <v>0</v>
      </c>
      <c r="DF55" s="55">
        <f t="shared" si="100"/>
        <v>0</v>
      </c>
      <c r="DG55" s="56">
        <v>0</v>
      </c>
      <c r="DI55" s="4" t="s">
        <v>191</v>
      </c>
      <c r="DJ55" s="52">
        <v>0</v>
      </c>
      <c r="DK55" s="52">
        <v>0</v>
      </c>
      <c r="DL55" s="52">
        <v>0</v>
      </c>
      <c r="DM55" s="52">
        <v>0</v>
      </c>
      <c r="DN55" s="52">
        <v>0</v>
      </c>
      <c r="DO55" s="52">
        <v>0</v>
      </c>
      <c r="DP55" s="52"/>
      <c r="DQ55" s="52">
        <v>0</v>
      </c>
      <c r="DR55" s="52">
        <v>0</v>
      </c>
      <c r="DS55" s="52"/>
      <c r="DT55" s="52">
        <f>SUM(DJ55:DS55)</f>
        <v>0</v>
      </c>
      <c r="DU55" s="52">
        <f t="shared" si="102"/>
        <v>0</v>
      </c>
      <c r="DW55" s="54">
        <f t="shared" si="103"/>
        <v>0</v>
      </c>
      <c r="DX55" s="54">
        <f t="shared" si="104"/>
        <v>0</v>
      </c>
      <c r="DY55" s="52">
        <v>0</v>
      </c>
    </row>
    <row r="56" spans="1:129" s="4" customFormat="1">
      <c r="A56" s="30" t="s">
        <v>192</v>
      </c>
      <c r="B56" s="34" t="s">
        <v>193</v>
      </c>
      <c r="C56" s="34" t="s">
        <v>194</v>
      </c>
      <c r="D56" s="85" t="s">
        <v>352</v>
      </c>
      <c r="E56" s="33">
        <v>0</v>
      </c>
      <c r="F56" s="33">
        <v>56.807466064176481</v>
      </c>
      <c r="G56" s="33">
        <v>11442.143406522464</v>
      </c>
      <c r="H56" s="33">
        <v>159.8927405213762</v>
      </c>
      <c r="I56" s="33">
        <v>0</v>
      </c>
      <c r="J56" s="33">
        <v>6347.6788625795289</v>
      </c>
      <c r="K56" s="33">
        <v>0</v>
      </c>
      <c r="L56" s="33">
        <v>20335.912535967902</v>
      </c>
      <c r="M56" s="33">
        <v>276.32336939784244</v>
      </c>
      <c r="N56" s="33">
        <v>38618.758381053289</v>
      </c>
      <c r="O56" s="2">
        <v>38618.758381053289</v>
      </c>
      <c r="P56" s="2">
        <v>0</v>
      </c>
      <c r="Q56" s="2">
        <v>11602.03614704384</v>
      </c>
      <c r="R56" s="2" t="s">
        <v>195</v>
      </c>
      <c r="S56" s="33"/>
      <c r="T56" s="33">
        <v>283.68033009672945</v>
      </c>
      <c r="U56" s="33">
        <v>25676.896623440647</v>
      </c>
      <c r="V56" s="33">
        <v>674.53534439343048</v>
      </c>
      <c r="W56" s="33"/>
      <c r="X56" s="33">
        <v>26778.787665450971</v>
      </c>
      <c r="Y56" s="33"/>
      <c r="Z56" s="33">
        <v>99983.8791386964</v>
      </c>
      <c r="AA56" s="33"/>
      <c r="AB56" s="33"/>
      <c r="AC56" s="33">
        <f t="shared" si="86"/>
        <v>153397.77910207817</v>
      </c>
      <c r="AD56" s="2">
        <f t="shared" si="87"/>
        <v>153397.77910207817</v>
      </c>
      <c r="AE56" s="2">
        <f t="shared" si="88"/>
        <v>0</v>
      </c>
      <c r="AF56" s="2" t="s">
        <v>195</v>
      </c>
      <c r="AG56" s="33"/>
      <c r="AH56" s="33">
        <v>65.967071386628319</v>
      </c>
      <c r="AI56" s="33">
        <v>5889.7005943320992</v>
      </c>
      <c r="AJ56" s="33">
        <v>455.93287435776261</v>
      </c>
      <c r="AK56" s="33"/>
      <c r="AL56" s="33">
        <v>18100.355650161498</v>
      </c>
      <c r="AM56" s="33"/>
      <c r="AN56" s="33">
        <v>92622.587222551156</v>
      </c>
      <c r="AO56" s="33"/>
      <c r="AP56" s="33"/>
      <c r="AQ56" s="33"/>
      <c r="AR56" s="33">
        <f t="shared" si="89"/>
        <v>117134.54341278915</v>
      </c>
      <c r="AS56" s="2">
        <f t="shared" si="90"/>
        <v>117134.54341278915</v>
      </c>
      <c r="AT56" s="2"/>
      <c r="AU56" s="2"/>
      <c r="AV56" s="2"/>
      <c r="AW56" s="2"/>
      <c r="AX56" s="2" t="s">
        <v>195</v>
      </c>
      <c r="AY56" s="33"/>
      <c r="AZ56" s="33">
        <v>0</v>
      </c>
      <c r="BA56" s="33">
        <v>0</v>
      </c>
      <c r="BB56" s="33">
        <v>181.65832010166312</v>
      </c>
      <c r="BC56" s="33"/>
      <c r="BD56" s="33">
        <v>7211.7638046667471</v>
      </c>
      <c r="BE56" s="33"/>
      <c r="BF56" s="33">
        <v>80931.741375752536</v>
      </c>
      <c r="BG56" s="33"/>
      <c r="BH56" s="33"/>
      <c r="BI56" s="33"/>
      <c r="BJ56" s="33">
        <f t="shared" si="91"/>
        <v>88325.163500520939</v>
      </c>
      <c r="BK56" s="2">
        <f t="shared" si="92"/>
        <v>88325.163500520939</v>
      </c>
      <c r="BL56" s="2"/>
      <c r="BM56" s="2"/>
      <c r="BN56" s="2"/>
      <c r="BO56" s="2"/>
      <c r="BP56" s="4" t="s">
        <v>195</v>
      </c>
      <c r="BQ56" s="52">
        <v>0</v>
      </c>
      <c r="BR56" s="52">
        <v>5.7632362168221285E-3</v>
      </c>
      <c r="BS56" s="52">
        <v>0.73773773508601315</v>
      </c>
      <c r="BT56" s="52">
        <v>8.8365809535230367E-3</v>
      </c>
      <c r="BU56" s="52">
        <v>0</v>
      </c>
      <c r="BV56" s="52">
        <v>0.30038648849946009</v>
      </c>
      <c r="BW56" s="52">
        <v>0</v>
      </c>
      <c r="BX56" s="52">
        <v>2.8096139353340917</v>
      </c>
      <c r="BY56" s="52">
        <v>4.9588756347935855E-3</v>
      </c>
      <c r="BZ56" s="52">
        <f>SUM(BQ56:BY56)</f>
        <v>3.8672968517247042</v>
      </c>
      <c r="CA56" s="52">
        <f t="shared" si="94"/>
        <v>1.0576829163906125</v>
      </c>
      <c r="CB56" s="52">
        <v>0</v>
      </c>
      <c r="CC56" s="4" t="s">
        <v>195</v>
      </c>
      <c r="CD56" s="52">
        <v>0</v>
      </c>
      <c r="CE56" s="52">
        <v>2.8779962664881597E-2</v>
      </c>
      <c r="CF56" s="52">
        <v>1.6555303395530476</v>
      </c>
      <c r="CG56" s="52">
        <v>3.7278654160963702E-2</v>
      </c>
      <c r="CH56" s="52">
        <v>0</v>
      </c>
      <c r="CI56" s="52">
        <v>1.2672326636619751</v>
      </c>
      <c r="CJ56" s="52"/>
      <c r="CK56" s="52">
        <v>3.9886978974709826</v>
      </c>
      <c r="CL56" s="52">
        <v>0</v>
      </c>
      <c r="CM56" s="52"/>
      <c r="CN56" s="52">
        <f t="shared" si="95"/>
        <v>6.9775195175118512</v>
      </c>
      <c r="CO56" s="52">
        <f t="shared" si="96"/>
        <v>2.9888216200408682</v>
      </c>
      <c r="CP56" s="52">
        <v>0</v>
      </c>
      <c r="CQ56" s="4" t="s">
        <v>195</v>
      </c>
      <c r="CR56" s="52">
        <v>0</v>
      </c>
      <c r="CS56" s="52">
        <v>6.6924973295518254E-3</v>
      </c>
      <c r="CT56" s="52">
        <v>0.37974129692522984</v>
      </c>
      <c r="CU56" s="52">
        <v>2.5197440112024294E-2</v>
      </c>
      <c r="CV56" s="52">
        <v>0</v>
      </c>
      <c r="CW56" s="52">
        <v>0.85654967619673816</v>
      </c>
      <c r="CX56" s="52"/>
      <c r="CY56" s="52">
        <v>0.34569376559211523</v>
      </c>
      <c r="CZ56" s="52">
        <v>0</v>
      </c>
      <c r="DA56" s="52"/>
      <c r="DB56" s="52">
        <f>SUM(CR56:DA56)</f>
        <v>1.6138746761556595</v>
      </c>
      <c r="DC56" s="52">
        <f t="shared" si="98"/>
        <v>1.2681809105635442</v>
      </c>
      <c r="DE56" s="55">
        <f t="shared" si="99"/>
        <v>1.2681809105635442</v>
      </c>
      <c r="DF56" s="55">
        <f t="shared" si="100"/>
        <v>0</v>
      </c>
      <c r="DG56" s="56">
        <v>0</v>
      </c>
      <c r="DI56" s="4" t="s">
        <v>195</v>
      </c>
      <c r="DJ56" s="52">
        <v>0</v>
      </c>
      <c r="DK56" s="52">
        <v>0</v>
      </c>
      <c r="DL56" s="52">
        <v>0</v>
      </c>
      <c r="DM56" s="52">
        <v>1.0039470498942018E-2</v>
      </c>
      <c r="DN56" s="52">
        <v>0</v>
      </c>
      <c r="DO56" s="52">
        <v>0.34127693792798725</v>
      </c>
      <c r="DP56" s="52"/>
      <c r="DQ56" s="52">
        <v>0</v>
      </c>
      <c r="DR56" s="52">
        <v>0</v>
      </c>
      <c r="DS56" s="52"/>
      <c r="DT56" s="52">
        <f>SUM(DJ56:DS56)</f>
        <v>0.35131640842692924</v>
      </c>
      <c r="DU56" s="52">
        <f t="shared" si="102"/>
        <v>0.35131640842692924</v>
      </c>
      <c r="DW56" s="54">
        <f t="shared" si="103"/>
        <v>0.35131640842692924</v>
      </c>
      <c r="DX56" s="54">
        <f t="shared" si="104"/>
        <v>0</v>
      </c>
      <c r="DY56" s="52">
        <v>0</v>
      </c>
    </row>
    <row r="57" spans="1:129" s="4" customFormat="1">
      <c r="A57" s="30" t="s">
        <v>196</v>
      </c>
      <c r="B57" s="34"/>
      <c r="C57" s="31" t="s">
        <v>197</v>
      </c>
      <c r="D57" s="85" t="s">
        <v>353</v>
      </c>
      <c r="E57" s="33">
        <v>0</v>
      </c>
      <c r="F57" s="33">
        <v>0</v>
      </c>
      <c r="G57" s="33">
        <v>155225.1981286412</v>
      </c>
      <c r="H57" s="33">
        <v>0</v>
      </c>
      <c r="I57" s="33">
        <v>0</v>
      </c>
      <c r="J57" s="33">
        <v>62556.381894012491</v>
      </c>
      <c r="K57" s="33">
        <v>4500.5736676198503</v>
      </c>
      <c r="L57" s="33">
        <v>0</v>
      </c>
      <c r="M57" s="33">
        <v>21160.089199999999</v>
      </c>
      <c r="N57" s="33">
        <v>243442.24289027351</v>
      </c>
      <c r="O57" s="2">
        <v>243442.24289027351</v>
      </c>
      <c r="P57" s="2">
        <v>29665.185334506659</v>
      </c>
      <c r="Q57" s="2">
        <v>184890.38346314785</v>
      </c>
      <c r="R57" s="9" t="s">
        <v>198</v>
      </c>
      <c r="S57" s="33"/>
      <c r="T57" s="33">
        <v>0</v>
      </c>
      <c r="U57" s="33">
        <v>2893.1918393160822</v>
      </c>
      <c r="V57" s="33">
        <v>0</v>
      </c>
      <c r="W57" s="33"/>
      <c r="X57" s="33">
        <v>4394.5665334048736</v>
      </c>
      <c r="Y57" s="33"/>
      <c r="Z57" s="33">
        <v>39919.925480634382</v>
      </c>
      <c r="AA57" s="33"/>
      <c r="AB57" s="33"/>
      <c r="AC57" s="33">
        <f t="shared" si="86"/>
        <v>47207.683853355338</v>
      </c>
      <c r="AD57" s="2">
        <f>AC57</f>
        <v>47207.683853355338</v>
      </c>
      <c r="AE57" s="2">
        <f t="shared" si="88"/>
        <v>5752.5952525576904</v>
      </c>
      <c r="AF57" s="9" t="s">
        <v>198</v>
      </c>
      <c r="AG57" s="33"/>
      <c r="AH57" s="33">
        <v>0</v>
      </c>
      <c r="AI57" s="33">
        <v>657.00658365022366</v>
      </c>
      <c r="AJ57" s="33">
        <v>0</v>
      </c>
      <c r="AK57" s="33"/>
      <c r="AL57" s="33">
        <v>2652.9054421361911</v>
      </c>
      <c r="AM57" s="33"/>
      <c r="AN57" s="33">
        <v>33545.838057382105</v>
      </c>
      <c r="AO57" s="33"/>
      <c r="AP57" s="33"/>
      <c r="AQ57" s="33"/>
      <c r="AR57" s="33">
        <f t="shared" si="89"/>
        <v>36855.750083168517</v>
      </c>
      <c r="AS57" s="2">
        <f t="shared" si="90"/>
        <v>36855.750083168517</v>
      </c>
      <c r="AT57" s="2"/>
      <c r="AU57" s="2"/>
      <c r="AV57" s="2"/>
      <c r="AW57" s="2"/>
      <c r="AX57" s="9" t="s">
        <v>198</v>
      </c>
      <c r="AY57" s="33"/>
      <c r="AZ57" s="33">
        <v>0</v>
      </c>
      <c r="BA57" s="33">
        <v>0</v>
      </c>
      <c r="BB57" s="33">
        <v>0</v>
      </c>
      <c r="BC57" s="33"/>
      <c r="BD57" s="33">
        <v>1314.2913756888156</v>
      </c>
      <c r="BE57" s="33"/>
      <c r="BF57" s="33">
        <v>27045.965811329155</v>
      </c>
      <c r="BG57" s="33"/>
      <c r="BH57" s="33"/>
      <c r="BI57" s="33"/>
      <c r="BJ57" s="33">
        <f t="shared" si="91"/>
        <v>28360.257187017971</v>
      </c>
      <c r="BK57" s="2">
        <f t="shared" si="92"/>
        <v>28360.257187017971</v>
      </c>
      <c r="BL57" s="2"/>
      <c r="BM57" s="2"/>
      <c r="BN57" s="2"/>
      <c r="BO57" s="2"/>
      <c r="BP57" s="4" t="s">
        <v>198</v>
      </c>
      <c r="BQ57" s="52">
        <v>0</v>
      </c>
      <c r="BR57" s="52">
        <v>0</v>
      </c>
      <c r="BS57" s="52">
        <v>9.9445762715328456</v>
      </c>
      <c r="BT57" s="52">
        <v>0</v>
      </c>
      <c r="BU57" s="52">
        <v>0</v>
      </c>
      <c r="BV57" s="52">
        <v>2.9699510334566228</v>
      </c>
      <c r="BW57" s="52">
        <v>0</v>
      </c>
      <c r="BX57" s="52">
        <v>0</v>
      </c>
      <c r="BY57" s="52">
        <v>1.0706146848497669</v>
      </c>
      <c r="BZ57" s="52">
        <f>SUM(BQ57:BY57)</f>
        <v>13.985141989839235</v>
      </c>
      <c r="CA57" s="52">
        <f t="shared" si="94"/>
        <v>13.985141989839235</v>
      </c>
      <c r="CB57" s="52">
        <v>2.1825209714000184</v>
      </c>
      <c r="CC57" s="4" t="s">
        <v>198</v>
      </c>
      <c r="CD57" s="52">
        <v>0</v>
      </c>
      <c r="CE57" s="52">
        <v>0</v>
      </c>
      <c r="CF57" s="52">
        <v>0.18535371357948632</v>
      </c>
      <c r="CG57" s="52">
        <v>0</v>
      </c>
      <c r="CH57" s="52">
        <v>0</v>
      </c>
      <c r="CI57" s="52">
        <v>0.20863814406006936</v>
      </c>
      <c r="CJ57" s="52"/>
      <c r="CK57" s="52">
        <v>1.5925419597985875</v>
      </c>
      <c r="CL57" s="52">
        <v>0</v>
      </c>
      <c r="CM57" s="52"/>
      <c r="CN57" s="52">
        <f t="shared" si="95"/>
        <v>1.9865338174381431</v>
      </c>
      <c r="CO57" s="52">
        <f t="shared" si="96"/>
        <v>0.39399185763955569</v>
      </c>
      <c r="CP57" s="52">
        <v>0.42322876587860503</v>
      </c>
      <c r="CQ57" s="4" t="s">
        <v>198</v>
      </c>
      <c r="CR57" s="52">
        <v>0</v>
      </c>
      <c r="CS57" s="52">
        <v>0</v>
      </c>
      <c r="CT57" s="52">
        <v>4.2091439796998552E-2</v>
      </c>
      <c r="CU57" s="52">
        <v>0</v>
      </c>
      <c r="CV57" s="52">
        <v>0</v>
      </c>
      <c r="CW57" s="52">
        <v>0.12595036702864698</v>
      </c>
      <c r="CX57" s="52"/>
      <c r="CY57" s="52">
        <v>0.1252025820671121</v>
      </c>
      <c r="CZ57" s="52">
        <v>0</v>
      </c>
      <c r="DA57" s="52"/>
      <c r="DB57" s="52">
        <f>SUM(CR57:DA57)</f>
        <v>0.29324438889275761</v>
      </c>
      <c r="DC57" s="52">
        <f t="shared" si="98"/>
        <v>0.16804180682564554</v>
      </c>
      <c r="DE57" s="55">
        <f t="shared" si="99"/>
        <v>0.16804180682564554</v>
      </c>
      <c r="DF57" s="55">
        <f t="shared" si="100"/>
        <v>0</v>
      </c>
      <c r="DG57" s="56">
        <v>0</v>
      </c>
      <c r="DI57" s="4" t="s">
        <v>198</v>
      </c>
      <c r="DJ57" s="52">
        <v>0</v>
      </c>
      <c r="DK57" s="52">
        <v>0</v>
      </c>
      <c r="DL57" s="52">
        <v>0</v>
      </c>
      <c r="DM57" s="52">
        <v>0</v>
      </c>
      <c r="DN57" s="52">
        <v>0</v>
      </c>
      <c r="DO57" s="52">
        <v>6.2397806767397652E-2</v>
      </c>
      <c r="DP57" s="52"/>
      <c r="DQ57" s="52">
        <v>0</v>
      </c>
      <c r="DR57" s="52">
        <v>0</v>
      </c>
      <c r="DS57" s="52"/>
      <c r="DT57" s="52">
        <f>SUM(DJ57:DS57)</f>
        <v>6.2397806767397652E-2</v>
      </c>
      <c r="DU57" s="52">
        <f t="shared" si="102"/>
        <v>6.2397806767397652E-2</v>
      </c>
      <c r="DW57" s="54">
        <f t="shared" si="103"/>
        <v>6.2397806767397652E-2</v>
      </c>
      <c r="DX57" s="54">
        <f t="shared" si="104"/>
        <v>0</v>
      </c>
      <c r="DY57" s="52">
        <v>0</v>
      </c>
    </row>
    <row r="58" spans="1:129" s="4" customFormat="1">
      <c r="A58" s="23"/>
      <c r="B58" s="35"/>
      <c r="C58" s="35"/>
      <c r="D58" s="35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36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2"/>
      <c r="AG58" s="9"/>
      <c r="AH58" s="9"/>
      <c r="AI58" s="9"/>
      <c r="AJ58" s="9"/>
      <c r="AK58" s="9"/>
      <c r="AL58" s="9"/>
      <c r="AM58" s="9"/>
      <c r="AN58" s="2">
        <v>163.23580972678383</v>
      </c>
      <c r="AO58" s="9"/>
      <c r="AP58" s="9"/>
      <c r="AQ58" s="9"/>
      <c r="AR58" s="9"/>
      <c r="AS58" s="9"/>
      <c r="AT58" s="9"/>
      <c r="AU58" s="9"/>
      <c r="AV58" s="9"/>
      <c r="AW58" s="9"/>
      <c r="AX58" s="2"/>
      <c r="AY58" s="9"/>
      <c r="AZ58" s="9"/>
      <c r="BA58" s="9"/>
      <c r="BB58" s="9"/>
      <c r="BC58" s="9"/>
      <c r="BD58" s="9"/>
      <c r="BE58" s="9"/>
      <c r="BF58" s="2">
        <v>154.12734466352276</v>
      </c>
      <c r="BG58" s="9"/>
      <c r="BH58" s="9"/>
      <c r="BI58" s="9"/>
      <c r="BJ58" s="9"/>
      <c r="BK58" s="9"/>
      <c r="BL58" s="9"/>
      <c r="BM58" s="9"/>
      <c r="BN58" s="9"/>
      <c r="BO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G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Y58" s="9"/>
    </row>
    <row r="59" spans="1:129" s="4" customFormat="1">
      <c r="A59" s="37" t="s">
        <v>199</v>
      </c>
      <c r="B59" s="38" t="s">
        <v>200</v>
      </c>
      <c r="C59" s="86" t="s">
        <v>201</v>
      </c>
      <c r="D59" s="86" t="s">
        <v>202</v>
      </c>
      <c r="E59" s="39">
        <v>0</v>
      </c>
      <c r="F59" s="39">
        <v>0</v>
      </c>
      <c r="G59" s="39">
        <v>321319.50799071585</v>
      </c>
      <c r="H59" s="39">
        <v>200432.07209901791</v>
      </c>
      <c r="I59" s="39">
        <v>0</v>
      </c>
      <c r="J59" s="39">
        <v>408813.23725372722</v>
      </c>
      <c r="K59" s="39">
        <v>8407.999601382</v>
      </c>
      <c r="L59" s="39">
        <v>952885.31448355876</v>
      </c>
      <c r="M59" s="39">
        <v>1108.2549999999999</v>
      </c>
      <c r="N59" s="39">
        <v>1892966.3864284016</v>
      </c>
      <c r="O59" s="2">
        <v>1892966.386428402</v>
      </c>
      <c r="P59" s="2">
        <v>0</v>
      </c>
      <c r="Q59" s="2">
        <v>521751.58008973376</v>
      </c>
      <c r="R59" s="9" t="s">
        <v>202</v>
      </c>
      <c r="S59" s="39"/>
      <c r="T59" s="39"/>
      <c r="U59" s="39">
        <v>202123.64956755994</v>
      </c>
      <c r="V59" s="39">
        <v>148237.85194075957</v>
      </c>
      <c r="W59" s="39"/>
      <c r="X59" s="39">
        <v>302354.7853434459</v>
      </c>
      <c r="Y59" s="39"/>
      <c r="Z59" s="39">
        <v>643044.06685308041</v>
      </c>
      <c r="AA59" s="39"/>
      <c r="AB59" s="39"/>
      <c r="AC59" s="39">
        <f t="shared" ref="AC59" si="105">SUM(S59:AB59)</f>
        <v>1295760.3537048458</v>
      </c>
      <c r="AD59" s="39">
        <f>AC59</f>
        <v>1295760.3537048458</v>
      </c>
      <c r="AE59" s="39">
        <f>AC59*P59/N59</f>
        <v>0</v>
      </c>
      <c r="AF59" s="9" t="s">
        <v>202</v>
      </c>
      <c r="AG59" s="39"/>
      <c r="AH59" s="39"/>
      <c r="AI59" s="39">
        <v>78384.871152386389</v>
      </c>
      <c r="AJ59" s="39">
        <v>60205.30511267751</v>
      </c>
      <c r="AK59" s="39"/>
      <c r="AL59" s="39">
        <v>122798.33973278904</v>
      </c>
      <c r="AM59" s="39"/>
      <c r="AN59" s="39">
        <v>605216.06751496752</v>
      </c>
      <c r="AO59" s="39"/>
      <c r="AP59" s="39"/>
      <c r="AQ59" s="39"/>
      <c r="AR59" s="39">
        <f>SUM(AG59:AQ59)</f>
        <v>866604.58351282054</v>
      </c>
      <c r="AS59" s="39">
        <f>AR59-AT59</f>
        <v>866604.58351282054</v>
      </c>
      <c r="AT59" s="39">
        <v>0</v>
      </c>
      <c r="AU59" s="39">
        <v>0</v>
      </c>
      <c r="AV59" s="39">
        <v>0</v>
      </c>
      <c r="AW59" s="39">
        <v>0</v>
      </c>
      <c r="AX59" s="9" t="s">
        <v>202</v>
      </c>
      <c r="AY59" s="39"/>
      <c r="AZ59" s="39"/>
      <c r="BA59" s="39">
        <v>1477.9860258220112</v>
      </c>
      <c r="BB59" s="39">
        <v>5014.7159380732774</v>
      </c>
      <c r="BC59" s="39"/>
      <c r="BD59" s="39">
        <v>10228.314436318415</v>
      </c>
      <c r="BE59" s="39"/>
      <c r="BF59" s="39">
        <v>567562.68330452836</v>
      </c>
      <c r="BG59" s="39"/>
      <c r="BH59" s="39"/>
      <c r="BI59" s="39"/>
      <c r="BJ59" s="39">
        <f t="shared" ref="BJ59" si="106">SUM(AY59:BI59)</f>
        <v>584283.69970474206</v>
      </c>
      <c r="BK59" s="39">
        <f>BJ59-BL59</f>
        <v>584283.69970474206</v>
      </c>
      <c r="BL59" s="39">
        <f>SUM(BL60:BL65)</f>
        <v>0</v>
      </c>
      <c r="BM59" s="39">
        <f>SUM(BM60:BM65)</f>
        <v>0</v>
      </c>
      <c r="BN59" s="39">
        <f>SUM(BN60:BN65)</f>
        <v>0</v>
      </c>
      <c r="BO59" s="39">
        <f>SUM(BO60:BO65)</f>
        <v>0</v>
      </c>
      <c r="BP59" s="4" t="s">
        <v>202</v>
      </c>
      <c r="BQ59" s="53">
        <v>0</v>
      </c>
      <c r="BR59" s="53">
        <v>0</v>
      </c>
      <c r="BS59" s="53">
        <v>22.01475726167121</v>
      </c>
      <c r="BT59" s="53">
        <v>12.00846012586635</v>
      </c>
      <c r="BU59" s="53">
        <v>0</v>
      </c>
      <c r="BV59" s="53">
        <v>21.091935949363478</v>
      </c>
      <c r="BW59" s="53">
        <v>0</v>
      </c>
      <c r="BX59" s="53">
        <v>128.69921638738526</v>
      </c>
      <c r="BY59" s="53">
        <v>6.0891987566708612E-2</v>
      </c>
      <c r="BZ59" s="53">
        <f>SUM(BQ59:BY59)</f>
        <v>183.875261711853</v>
      </c>
      <c r="CA59" s="53">
        <f>BZ59-BX59</f>
        <v>55.176045324467736</v>
      </c>
      <c r="CB59" s="53">
        <v>0</v>
      </c>
      <c r="CC59" s="4" t="s">
        <v>202</v>
      </c>
      <c r="CD59" s="53">
        <v>0</v>
      </c>
      <c r="CE59" s="53">
        <v>0</v>
      </c>
      <c r="CF59" s="53">
        <v>13.848219518005413</v>
      </c>
      <c r="CG59" s="53">
        <v>8.8813547429439232</v>
      </c>
      <c r="CH59" s="53">
        <v>0</v>
      </c>
      <c r="CI59" s="53">
        <v>15.599416029891195</v>
      </c>
      <c r="CJ59" s="53"/>
      <c r="CK59" s="53">
        <v>25.653220694508786</v>
      </c>
      <c r="CL59" s="53">
        <v>0</v>
      </c>
      <c r="CM59" s="53"/>
      <c r="CN59" s="53">
        <f>SUM(CD59:CM59)</f>
        <v>63.982210985349312</v>
      </c>
      <c r="CO59" s="53">
        <f>SUM(CD59:CJ59,CL59)</f>
        <v>38.32899029084053</v>
      </c>
      <c r="CP59" s="53">
        <v>0</v>
      </c>
      <c r="CQ59" s="4" t="s">
        <v>202</v>
      </c>
      <c r="CR59" s="53">
        <v>0</v>
      </c>
      <c r="CS59" s="53">
        <v>0</v>
      </c>
      <c r="CT59" s="53">
        <v>5.3704299567675804</v>
      </c>
      <c r="CU59" s="53">
        <v>3.6070724522273094</v>
      </c>
      <c r="CV59" s="53">
        <v>0</v>
      </c>
      <c r="CW59" s="53">
        <v>6.3355451348182807</v>
      </c>
      <c r="CX59" s="53"/>
      <c r="CY59" s="53">
        <v>2.2588380183485266</v>
      </c>
      <c r="CZ59" s="53">
        <v>0</v>
      </c>
      <c r="DA59" s="53"/>
      <c r="DB59" s="53">
        <f>SUM(CR59:DA59)</f>
        <v>17.571885562161697</v>
      </c>
      <c r="DC59" s="53">
        <f t="shared" si="98"/>
        <v>15.313047543813171</v>
      </c>
      <c r="DE59" s="53">
        <f t="shared" ref="DE59" si="107">DC59*(1-DD59)</f>
        <v>15.313047543813171</v>
      </c>
      <c r="DF59" s="53">
        <f>DC59*DD59</f>
        <v>0</v>
      </c>
      <c r="DG59" s="53">
        <v>0</v>
      </c>
      <c r="DH59" s="9"/>
      <c r="DI59" s="4" t="s">
        <v>202</v>
      </c>
      <c r="DJ59" s="53">
        <v>0</v>
      </c>
      <c r="DK59" s="53">
        <v>0</v>
      </c>
      <c r="DL59" s="53">
        <v>0.10126214806588658</v>
      </c>
      <c r="DM59" s="53">
        <v>0.30044601023308226</v>
      </c>
      <c r="DN59" s="53">
        <v>0</v>
      </c>
      <c r="DO59" s="53">
        <v>0.52771029238195477</v>
      </c>
      <c r="DP59" s="53"/>
      <c r="DQ59" s="53">
        <v>0</v>
      </c>
      <c r="DR59" s="53">
        <v>0</v>
      </c>
      <c r="DS59" s="53"/>
      <c r="DT59" s="53">
        <f>SUM(DJ59:DS59)</f>
        <v>0.92941845068092355</v>
      </c>
      <c r="DU59" s="53">
        <f>DT59-DQ59</f>
        <v>0.92941845068092355</v>
      </c>
      <c r="DW59" s="53">
        <f t="shared" ref="DW59" si="108">DU59*(1-DV59)</f>
        <v>0.92941845068092355</v>
      </c>
      <c r="DX59" s="53">
        <f>DU59*DV59</f>
        <v>0</v>
      </c>
      <c r="DY59" s="53">
        <v>0</v>
      </c>
    </row>
    <row r="60" spans="1:129" s="4" customFormat="1">
      <c r="A60" s="23"/>
      <c r="B60" s="35"/>
      <c r="C60" s="35"/>
      <c r="D60" s="35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36">
        <v>2030</v>
      </c>
      <c r="S60" s="9" t="s">
        <v>203</v>
      </c>
      <c r="T60" s="9" t="s">
        <v>204</v>
      </c>
      <c r="U60" s="9" t="s">
        <v>381</v>
      </c>
      <c r="V60" s="9" t="s">
        <v>11</v>
      </c>
      <c r="W60" s="9" t="s">
        <v>205</v>
      </c>
      <c r="X60" s="9" t="s">
        <v>206</v>
      </c>
      <c r="Y60" s="9" t="s">
        <v>207</v>
      </c>
      <c r="Z60" s="2" t="s">
        <v>2</v>
      </c>
      <c r="AA60" s="9" t="s">
        <v>208</v>
      </c>
      <c r="AB60" s="9" t="s">
        <v>299</v>
      </c>
      <c r="AC60" s="9" t="s">
        <v>209</v>
      </c>
      <c r="AD60" s="9"/>
      <c r="AE60" s="9"/>
      <c r="AF60" s="36">
        <v>2040</v>
      </c>
      <c r="AG60" s="9" t="s">
        <v>203</v>
      </c>
      <c r="AH60" s="9" t="s">
        <v>204</v>
      </c>
      <c r="AI60" s="9" t="s">
        <v>381</v>
      </c>
      <c r="AJ60" s="9" t="s">
        <v>11</v>
      </c>
      <c r="AK60" s="9" t="s">
        <v>205</v>
      </c>
      <c r="AL60" s="9" t="s">
        <v>206</v>
      </c>
      <c r="AM60" s="9" t="s">
        <v>207</v>
      </c>
      <c r="AN60" s="2">
        <f>AN61*0.000277778</f>
        <v>105.05646926748352</v>
      </c>
      <c r="AO60" s="9" t="s">
        <v>208</v>
      </c>
      <c r="AP60" s="9" t="s">
        <v>299</v>
      </c>
      <c r="AQ60" s="9" t="s">
        <v>1</v>
      </c>
      <c r="AR60" s="9" t="s">
        <v>209</v>
      </c>
      <c r="AS60" s="9"/>
      <c r="AT60" s="9"/>
      <c r="AU60" s="9"/>
      <c r="AV60" s="9"/>
      <c r="AW60" s="9"/>
      <c r="AX60" s="36">
        <v>2050</v>
      </c>
      <c r="AY60" s="9" t="s">
        <v>203</v>
      </c>
      <c r="AZ60" s="9" t="s">
        <v>204</v>
      </c>
      <c r="BA60" s="9" t="s">
        <v>381</v>
      </c>
      <c r="BB60" s="9" t="s">
        <v>11</v>
      </c>
      <c r="BC60" s="9" t="s">
        <v>205</v>
      </c>
      <c r="BD60" s="9" t="s">
        <v>206</v>
      </c>
      <c r="BE60" s="9" t="s">
        <v>207</v>
      </c>
      <c r="BF60" s="2">
        <f>BF61*0.000277778</f>
        <v>112.83901412189279</v>
      </c>
      <c r="BG60" s="9" t="s">
        <v>208</v>
      </c>
      <c r="BH60" s="9" t="s">
        <v>299</v>
      </c>
      <c r="BI60" s="9" t="s">
        <v>1</v>
      </c>
      <c r="BJ60" s="9" t="s">
        <v>209</v>
      </c>
      <c r="BK60" s="9"/>
      <c r="BL60" s="9"/>
      <c r="BM60" s="9"/>
      <c r="BN60" s="9"/>
      <c r="BO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G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Y60" s="9"/>
    </row>
    <row r="61" spans="1:129" s="4" customFormat="1">
      <c r="A61" s="40" t="s">
        <v>210</v>
      </c>
      <c r="B61" s="41"/>
      <c r="C61" s="87" t="s">
        <v>211</v>
      </c>
      <c r="D61" s="88" t="s">
        <v>354</v>
      </c>
      <c r="E61" s="18">
        <f t="shared" ref="E61:M61" si="109">SUM(E62:E67)</f>
        <v>39.080609180227164</v>
      </c>
      <c r="F61" s="18">
        <f t="shared" si="109"/>
        <v>0</v>
      </c>
      <c r="G61" s="18">
        <f>Q61-H61</f>
        <v>1729228.0126569006</v>
      </c>
      <c r="H61" s="18">
        <f t="shared" si="109"/>
        <v>36970.578411599119</v>
      </c>
      <c r="I61" s="18">
        <f t="shared" si="109"/>
        <v>0</v>
      </c>
      <c r="J61" s="18">
        <f t="shared" si="109"/>
        <v>191.10218454344977</v>
      </c>
      <c r="K61" s="18">
        <f t="shared" si="109"/>
        <v>0</v>
      </c>
      <c r="L61" s="18">
        <f t="shared" si="109"/>
        <v>60071.697778319998</v>
      </c>
      <c r="M61" s="18">
        <f t="shared" si="109"/>
        <v>0</v>
      </c>
      <c r="N61" s="18">
        <f>SUM(N62:N67)</f>
        <v>1797670.3246144434</v>
      </c>
      <c r="O61" s="18">
        <f>SUM(O62:O67)</f>
        <v>1797670.3246144436</v>
      </c>
      <c r="P61" s="18">
        <f>SUM(P62:P67)</f>
        <v>28830.14702610013</v>
      </c>
      <c r="Q61" s="18">
        <v>1766198.5910684997</v>
      </c>
      <c r="R61" s="2" t="s">
        <v>384</v>
      </c>
      <c r="S61" s="18">
        <f t="shared" ref="S61:AE61" si="110">SUM(S62:S67)</f>
        <v>0</v>
      </c>
      <c r="T61" s="18">
        <f t="shared" si="110"/>
        <v>0</v>
      </c>
      <c r="U61" s="18">
        <f t="shared" si="110"/>
        <v>961939.9257496479</v>
      </c>
      <c r="V61" s="18">
        <f t="shared" si="110"/>
        <v>0</v>
      </c>
      <c r="W61" s="18">
        <f t="shared" si="110"/>
        <v>0</v>
      </c>
      <c r="X61" s="18">
        <f t="shared" si="110"/>
        <v>12295.587777881436</v>
      </c>
      <c r="Y61" s="18">
        <f t="shared" si="110"/>
        <v>5135.3000863412544</v>
      </c>
      <c r="Z61" s="18">
        <f t="shared" si="110"/>
        <v>142084.46618111304</v>
      </c>
      <c r="AA61" s="18">
        <f t="shared" si="110"/>
        <v>0</v>
      </c>
      <c r="AB61" s="18">
        <f t="shared" si="110"/>
        <v>38.941226452527403</v>
      </c>
      <c r="AC61" s="18">
        <f t="shared" si="110"/>
        <v>1112024.4113514915</v>
      </c>
      <c r="AD61" s="18">
        <f t="shared" si="110"/>
        <v>1112024.4113514915</v>
      </c>
      <c r="AE61" s="18">
        <f t="shared" si="110"/>
        <v>16250.469910815591</v>
      </c>
      <c r="AF61" s="2" t="s">
        <v>384</v>
      </c>
      <c r="AG61" s="18">
        <f t="shared" ref="AG61:AW61" si="111">SUM(AG62:AG67)</f>
        <v>0</v>
      </c>
      <c r="AH61" s="18">
        <f t="shared" si="111"/>
        <v>0</v>
      </c>
      <c r="AI61" s="18">
        <f t="shared" si="111"/>
        <v>258153.34685940493</v>
      </c>
      <c r="AJ61" s="18">
        <f t="shared" si="111"/>
        <v>0</v>
      </c>
      <c r="AK61" s="18">
        <f t="shared" si="111"/>
        <v>0</v>
      </c>
      <c r="AL61" s="18">
        <f t="shared" si="111"/>
        <v>8625.491507147075</v>
      </c>
      <c r="AM61" s="18">
        <f t="shared" si="111"/>
        <v>8309.8451874182992</v>
      </c>
      <c r="AN61" s="18">
        <f t="shared" si="111"/>
        <v>378202.98680055124</v>
      </c>
      <c r="AO61" s="18">
        <f t="shared" si="111"/>
        <v>0</v>
      </c>
      <c r="AP61" s="18">
        <f t="shared" si="111"/>
        <v>25733.146321684239</v>
      </c>
      <c r="AQ61" s="18">
        <f t="shared" si="111"/>
        <v>22493.565655458882</v>
      </c>
      <c r="AR61" s="18">
        <f t="shared" si="111"/>
        <v>701518.38233166479</v>
      </c>
      <c r="AS61" s="18">
        <f t="shared" si="111"/>
        <v>701518.38233166479</v>
      </c>
      <c r="AT61" s="18">
        <f t="shared" si="111"/>
        <v>0</v>
      </c>
      <c r="AU61" s="18">
        <f t="shared" si="111"/>
        <v>0</v>
      </c>
      <c r="AV61" s="18">
        <f t="shared" si="111"/>
        <v>0</v>
      </c>
      <c r="AW61" s="18">
        <f t="shared" si="111"/>
        <v>0</v>
      </c>
      <c r="AX61" s="2" t="s">
        <v>384</v>
      </c>
      <c r="AY61" s="18">
        <f t="shared" ref="AY61:BO61" si="112">SUM(AY62:AY67)</f>
        <v>0</v>
      </c>
      <c r="AZ61" s="18">
        <f t="shared" si="112"/>
        <v>0</v>
      </c>
      <c r="BA61" s="18">
        <f t="shared" si="112"/>
        <v>5247.5394918587117</v>
      </c>
      <c r="BB61" s="18">
        <f t="shared" si="112"/>
        <v>0</v>
      </c>
      <c r="BC61" s="18">
        <f t="shared" si="112"/>
        <v>0</v>
      </c>
      <c r="BD61" s="18">
        <f t="shared" si="112"/>
        <v>0</v>
      </c>
      <c r="BE61" s="18">
        <f t="shared" si="112"/>
        <v>12151.09438851192</v>
      </c>
      <c r="BF61" s="18">
        <f t="shared" si="112"/>
        <v>406220.12586271332</v>
      </c>
      <c r="BG61" s="18">
        <f t="shared" si="112"/>
        <v>0</v>
      </c>
      <c r="BH61" s="18">
        <f t="shared" si="112"/>
        <v>47800.678284224661</v>
      </c>
      <c r="BI61" s="18">
        <f t="shared" si="112"/>
        <v>54995.672779402579</v>
      </c>
      <c r="BJ61" s="18">
        <f t="shared" si="112"/>
        <v>526415.11080671113</v>
      </c>
      <c r="BK61" s="18">
        <f t="shared" si="112"/>
        <v>526415.11080671113</v>
      </c>
      <c r="BL61" s="18">
        <f t="shared" si="112"/>
        <v>0</v>
      </c>
      <c r="BM61" s="18">
        <f t="shared" si="112"/>
        <v>0</v>
      </c>
      <c r="BN61" s="18">
        <f t="shared" si="112"/>
        <v>0</v>
      </c>
      <c r="BO61" s="18">
        <f t="shared" si="112"/>
        <v>0</v>
      </c>
      <c r="BP61" s="4" t="s">
        <v>384</v>
      </c>
      <c r="BQ61" s="53">
        <f t="shared" ref="BQ61:CB61" si="113">SUM(BQ62:BQ67)</f>
        <v>3.4915532809369639E-3</v>
      </c>
      <c r="BR61" s="53">
        <f t="shared" si="113"/>
        <v>0</v>
      </c>
      <c r="BS61" s="53">
        <f t="shared" si="113"/>
        <v>114.06983042393171</v>
      </c>
      <c r="BT61" s="53">
        <f t="shared" si="113"/>
        <v>2.1743734387370739</v>
      </c>
      <c r="BU61" s="53">
        <f t="shared" si="113"/>
        <v>0</v>
      </c>
      <c r="BV61" s="53">
        <f t="shared" si="113"/>
        <v>9.6302045593990859E-3</v>
      </c>
      <c r="BW61" s="53">
        <f t="shared" si="113"/>
        <v>0</v>
      </c>
      <c r="BX61" s="53">
        <f t="shared" si="113"/>
        <v>8.2274682538525834</v>
      </c>
      <c r="BY61" s="53">
        <f t="shared" si="113"/>
        <v>0</v>
      </c>
      <c r="BZ61" s="53">
        <f t="shared" si="113"/>
        <v>124.4847938743617</v>
      </c>
      <c r="CA61" s="53">
        <f t="shared" si="113"/>
        <v>116.25732562050912</v>
      </c>
      <c r="CB61" s="53">
        <f t="shared" si="113"/>
        <v>2.1022236352230683</v>
      </c>
      <c r="CC61" s="4" t="s">
        <v>384</v>
      </c>
      <c r="CD61" s="53">
        <f t="shared" ref="CD61:CP61" si="114">SUM(CD62:CD67)</f>
        <v>0</v>
      </c>
      <c r="CE61" s="53">
        <f t="shared" si="114"/>
        <v>0</v>
      </c>
      <c r="CF61" s="53">
        <f t="shared" si="114"/>
        <v>64.55457685631626</v>
      </c>
      <c r="CG61" s="53">
        <f t="shared" si="114"/>
        <v>0</v>
      </c>
      <c r="CH61" s="53">
        <f t="shared" si="114"/>
        <v>0</v>
      </c>
      <c r="CI61" s="53">
        <f t="shared" si="114"/>
        <v>0.63286574305227661</v>
      </c>
      <c r="CJ61" s="53">
        <f t="shared" si="114"/>
        <v>0</v>
      </c>
      <c r="CK61" s="53">
        <f t="shared" si="114"/>
        <v>5.6682338833216193</v>
      </c>
      <c r="CL61" s="53">
        <f t="shared" si="114"/>
        <v>0</v>
      </c>
      <c r="CM61" s="53">
        <f t="shared" si="114"/>
        <v>0</v>
      </c>
      <c r="CN61" s="53">
        <f t="shared" si="114"/>
        <v>70.855676482690171</v>
      </c>
      <c r="CO61" s="53">
        <f t="shared" si="114"/>
        <v>65.187442599368552</v>
      </c>
      <c r="CP61" s="53">
        <f t="shared" si="114"/>
        <v>1.184944422901161</v>
      </c>
      <c r="CQ61" s="4" t="s">
        <v>384</v>
      </c>
      <c r="CR61" s="53">
        <f t="shared" ref="CR61:CW61" si="115">SUM(CR62:CR67)</f>
        <v>0</v>
      </c>
      <c r="CS61" s="53">
        <f t="shared" si="115"/>
        <v>0</v>
      </c>
      <c r="CT61" s="53">
        <f t="shared" si="115"/>
        <v>17.359288414075589</v>
      </c>
      <c r="CU61" s="53">
        <f t="shared" si="115"/>
        <v>0</v>
      </c>
      <c r="CV61" s="53">
        <f t="shared" si="115"/>
        <v>0</v>
      </c>
      <c r="CW61" s="53">
        <f t="shared" si="115"/>
        <v>0.44396235385196836</v>
      </c>
      <c r="CX61" s="53"/>
      <c r="CY61" s="53">
        <f t="shared" ref="CY61" si="116">SUM(CY62:CY67)</f>
        <v>1.41156081454649</v>
      </c>
      <c r="CZ61" s="53">
        <f>SUM(CZ62:CZ67)</f>
        <v>0</v>
      </c>
      <c r="DA61" s="53"/>
      <c r="DB61" s="53">
        <f>SUM(DB62:DB67)</f>
        <v>19.214811582474049</v>
      </c>
      <c r="DC61" s="53">
        <f>SUM(DC62:DC67)</f>
        <v>17.803250767927558</v>
      </c>
      <c r="DE61" s="53">
        <f>SUM(DE62:DE67)</f>
        <v>17.803250767927558</v>
      </c>
      <c r="DF61" s="53">
        <f>SUM(DF62:DF67)</f>
        <v>0</v>
      </c>
      <c r="DG61" s="53">
        <f t="shared" ref="DG61" si="117">SUM(DG62:DG67)</f>
        <v>0</v>
      </c>
      <c r="DH61" s="9"/>
      <c r="DI61" s="4" t="s">
        <v>384</v>
      </c>
      <c r="DJ61" s="53">
        <f t="shared" ref="DJ61:DO61" si="118">SUM(DJ62:DJ67)</f>
        <v>0</v>
      </c>
      <c r="DK61" s="53">
        <f t="shared" si="118"/>
        <v>0</v>
      </c>
      <c r="DL61" s="53">
        <f t="shared" si="118"/>
        <v>0.35777350542589192</v>
      </c>
      <c r="DM61" s="53">
        <f t="shared" si="118"/>
        <v>0</v>
      </c>
      <c r="DN61" s="53">
        <f t="shared" si="118"/>
        <v>0</v>
      </c>
      <c r="DO61" s="53">
        <f t="shared" si="118"/>
        <v>0</v>
      </c>
      <c r="DP61" s="53"/>
      <c r="DQ61" s="53">
        <f t="shared" ref="DQ61" si="119">SUM(DQ62:DQ67)</f>
        <v>0</v>
      </c>
      <c r="DR61" s="53">
        <f>SUM(DR62:DR67)</f>
        <v>0</v>
      </c>
      <c r="DS61" s="53"/>
      <c r="DT61" s="53">
        <f>SUM(DT62:DT67)</f>
        <v>0.35777350542589192</v>
      </c>
      <c r="DU61" s="53">
        <f>SUM(DU62:DU67)</f>
        <v>0.35777350542589192</v>
      </c>
      <c r="DW61" s="53">
        <f>SUM(DW62:DW67)</f>
        <v>0.35777350542589192</v>
      </c>
      <c r="DX61" s="53">
        <f>SUM(DX62:DX67)</f>
        <v>0</v>
      </c>
      <c r="DY61" s="53">
        <f t="shared" ref="DY61" si="120">SUM(DY62:DY67)</f>
        <v>0</v>
      </c>
    </row>
    <row r="62" spans="1:129" s="4" customFormat="1">
      <c r="A62" s="40" t="s">
        <v>212</v>
      </c>
      <c r="B62" s="41"/>
      <c r="C62" s="41" t="s">
        <v>213</v>
      </c>
      <c r="D62" s="88" t="s">
        <v>355</v>
      </c>
      <c r="E62" s="42">
        <v>0</v>
      </c>
      <c r="F62" s="42">
        <v>0</v>
      </c>
      <c r="G62" s="42">
        <v>1443769.6742158374</v>
      </c>
      <c r="H62" s="42">
        <v>36970.578411599119</v>
      </c>
      <c r="I62" s="42">
        <v>0</v>
      </c>
      <c r="J62" s="42">
        <v>8.4653925284564053</v>
      </c>
      <c r="K62" s="42">
        <v>0</v>
      </c>
      <c r="L62" s="42">
        <v>0</v>
      </c>
      <c r="M62" s="42">
        <v>0</v>
      </c>
      <c r="N62" s="42">
        <v>1480748.7180199651</v>
      </c>
      <c r="O62" s="2">
        <v>1480748.7180199653</v>
      </c>
      <c r="P62" s="2">
        <v>28658.080100617277</v>
      </c>
      <c r="Q62" s="2">
        <v>1509398.3327280539</v>
      </c>
      <c r="R62" s="2" t="s">
        <v>214</v>
      </c>
      <c r="S62" s="42">
        <v>0</v>
      </c>
      <c r="T62" s="42">
        <v>0</v>
      </c>
      <c r="U62" s="42">
        <v>747513.42765848571</v>
      </c>
      <c r="V62" s="42">
        <v>0</v>
      </c>
      <c r="W62" s="42">
        <v>0</v>
      </c>
      <c r="X62" s="42">
        <v>0</v>
      </c>
      <c r="Y62" s="42">
        <v>0</v>
      </c>
      <c r="Z62" s="42">
        <v>84472.883943046603</v>
      </c>
      <c r="AA62" s="42">
        <v>0</v>
      </c>
      <c r="AB62" s="42">
        <v>38.941226452527403</v>
      </c>
      <c r="AC62" s="42">
        <f>SUM(S62:AB62)</f>
        <v>832025.25282798475</v>
      </c>
      <c r="AD62" s="2">
        <f t="shared" ref="AD62:AD67" si="121">AC62</f>
        <v>832025.25282798475</v>
      </c>
      <c r="AE62" s="2">
        <f t="shared" ref="AE62:AE67" si="122">AC62*P62/N62</f>
        <v>16102.830987532372</v>
      </c>
      <c r="AF62" s="2" t="s">
        <v>214</v>
      </c>
      <c r="AG62" s="42">
        <v>0</v>
      </c>
      <c r="AH62" s="42">
        <v>0</v>
      </c>
      <c r="AI62" s="42">
        <v>171262.82266362564</v>
      </c>
      <c r="AJ62" s="42">
        <v>0</v>
      </c>
      <c r="AK62" s="42">
        <v>0</v>
      </c>
      <c r="AL62" s="42">
        <v>0</v>
      </c>
      <c r="AM62" s="42">
        <v>0</v>
      </c>
      <c r="AN62" s="42">
        <v>307793.26539863076</v>
      </c>
      <c r="AO62" s="42">
        <v>0</v>
      </c>
      <c r="AP62" s="42">
        <v>1.4536510783729253</v>
      </c>
      <c r="AQ62" s="42">
        <v>0</v>
      </c>
      <c r="AR62" s="42">
        <f>SUM(AG62:AQ62)</f>
        <v>479057.54171333479</v>
      </c>
      <c r="AS62" s="2">
        <f t="shared" ref="AS62:AS67" si="123">AR62-AT62</f>
        <v>479057.54171333479</v>
      </c>
      <c r="AT62" s="2"/>
      <c r="AU62" s="2"/>
      <c r="AV62" s="2"/>
      <c r="AW62" s="2"/>
      <c r="AX62" s="2" t="s">
        <v>214</v>
      </c>
      <c r="AY62" s="42">
        <v>0</v>
      </c>
      <c r="AZ62" s="42">
        <v>0</v>
      </c>
      <c r="BA62" s="42">
        <v>0</v>
      </c>
      <c r="BB62" s="42">
        <v>0</v>
      </c>
      <c r="BC62" s="42">
        <v>0</v>
      </c>
      <c r="BD62" s="42">
        <v>0</v>
      </c>
      <c r="BE62" s="42">
        <v>0</v>
      </c>
      <c r="BF62" s="42">
        <v>316365.89144401887</v>
      </c>
      <c r="BG62" s="42">
        <v>0</v>
      </c>
      <c r="BH62" s="42">
        <v>4.8201742207784623E-3</v>
      </c>
      <c r="BI62" s="42">
        <v>4106.7116394915556</v>
      </c>
      <c r="BJ62" s="42">
        <f>SUM(AY62:BI62)</f>
        <v>320472.60790368466</v>
      </c>
      <c r="BK62" s="2">
        <f t="shared" ref="BK62:BK67" si="124">BJ62-BL62</f>
        <v>320472.60790368466</v>
      </c>
      <c r="BL62" s="2"/>
      <c r="BM62" s="2"/>
      <c r="BN62" s="2"/>
      <c r="BO62" s="2"/>
      <c r="BP62" s="4" t="s">
        <v>214</v>
      </c>
      <c r="BQ62" s="52">
        <v>0</v>
      </c>
      <c r="BR62" s="52">
        <v>0</v>
      </c>
      <c r="BS62" s="52">
        <v>96.408730971373998</v>
      </c>
      <c r="BT62" s="52">
        <v>2.1743734387370739</v>
      </c>
      <c r="BU62" s="52">
        <v>0</v>
      </c>
      <c r="BV62" s="52">
        <v>4.2681342137182839E-4</v>
      </c>
      <c r="BW62" s="52">
        <v>0</v>
      </c>
      <c r="BX62" s="52">
        <v>0</v>
      </c>
      <c r="BY62" s="52">
        <v>0</v>
      </c>
      <c r="BZ62" s="52">
        <f t="shared" ref="BZ62:BZ67" si="125">SUM(BQ62:BY62)</f>
        <v>98.583531223532447</v>
      </c>
      <c r="CA62" s="52">
        <f t="shared" ref="CA62:CA67" si="126">BZ62-BX62</f>
        <v>98.583531223532447</v>
      </c>
      <c r="CB62" s="52">
        <v>2.0896769368915353</v>
      </c>
      <c r="CC62" s="4" t="s">
        <v>214</v>
      </c>
      <c r="CD62" s="52">
        <v>0</v>
      </c>
      <c r="CE62" s="52">
        <v>0</v>
      </c>
      <c r="CF62" s="52">
        <v>49.915732565693787</v>
      </c>
      <c r="CG62" s="52">
        <v>0</v>
      </c>
      <c r="CH62" s="52">
        <v>0</v>
      </c>
      <c r="CI62" s="52">
        <v>0</v>
      </c>
      <c r="CJ62" s="52"/>
      <c r="CK62" s="52">
        <v>3.3699114045129792</v>
      </c>
      <c r="CL62" s="52">
        <v>0</v>
      </c>
      <c r="CM62" s="52"/>
      <c r="CN62" s="52">
        <f t="shared" ref="CN62:CN67" si="127">SUM(CD62:CM62)</f>
        <v>53.285643970206763</v>
      </c>
      <c r="CO62" s="52">
        <f t="shared" ref="CO62:CO67" si="128">SUM(CD62:CJ62,CL62)</f>
        <v>49.915732565693787</v>
      </c>
      <c r="CP62" s="52">
        <v>1.1741789545973091</v>
      </c>
      <c r="CQ62" s="4" t="s">
        <v>214</v>
      </c>
      <c r="CR62" s="52">
        <v>0</v>
      </c>
      <c r="CS62" s="52">
        <v>0</v>
      </c>
      <c r="CT62" s="52">
        <v>11.436194907296038</v>
      </c>
      <c r="CU62" s="52">
        <v>0</v>
      </c>
      <c r="CV62" s="52">
        <v>0</v>
      </c>
      <c r="CW62" s="52">
        <v>0</v>
      </c>
      <c r="CX62" s="52"/>
      <c r="CY62" s="52">
        <v>1.1487717643201381</v>
      </c>
      <c r="CZ62" s="52">
        <v>0</v>
      </c>
      <c r="DA62" s="52"/>
      <c r="DB62" s="52">
        <f t="shared" ref="DB62:DB67" si="129">SUM(CR62:DA62)</f>
        <v>12.584966671616176</v>
      </c>
      <c r="DC62" s="52">
        <f t="shared" ref="DC62:DC67" si="130">DB62-CY62</f>
        <v>11.436194907296038</v>
      </c>
      <c r="DE62" s="54">
        <f t="shared" ref="DE62:DE67" si="131">DC62*(1-DD62)</f>
        <v>11.436194907296038</v>
      </c>
      <c r="DF62" s="54">
        <f t="shared" ref="DF62:DF67" si="132">DC62*DD62</f>
        <v>0</v>
      </c>
      <c r="DG62" s="52">
        <v>0</v>
      </c>
      <c r="DI62" s="4" t="s">
        <v>214</v>
      </c>
      <c r="DJ62" s="52">
        <v>0</v>
      </c>
      <c r="DK62" s="52">
        <v>0</v>
      </c>
      <c r="DL62" s="52">
        <v>0</v>
      </c>
      <c r="DM62" s="52">
        <v>0</v>
      </c>
      <c r="DN62" s="52">
        <v>0</v>
      </c>
      <c r="DO62" s="52">
        <v>0</v>
      </c>
      <c r="DP62" s="52"/>
      <c r="DQ62" s="52">
        <v>0</v>
      </c>
      <c r="DR62" s="52">
        <v>0</v>
      </c>
      <c r="DS62" s="52"/>
      <c r="DT62" s="52">
        <f t="shared" ref="DT62:DT67" si="133">SUM(DJ62:DS62)</f>
        <v>0</v>
      </c>
      <c r="DU62" s="52">
        <f t="shared" ref="DU62:DU67" si="134">DT62-DQ62</f>
        <v>0</v>
      </c>
      <c r="DW62" s="54">
        <f t="shared" ref="DW62:DW67" si="135">DU62*(1-DV62)</f>
        <v>0</v>
      </c>
      <c r="DX62" s="54">
        <f t="shared" ref="DX62:DX67" si="136">DU62*DV62</f>
        <v>0</v>
      </c>
      <c r="DY62" s="52">
        <v>0</v>
      </c>
    </row>
    <row r="63" spans="1:129" s="4" customFormat="1">
      <c r="A63" s="40" t="s">
        <v>215</v>
      </c>
      <c r="B63" s="41" t="s">
        <v>216</v>
      </c>
      <c r="C63" s="43" t="s">
        <v>217</v>
      </c>
      <c r="D63" s="88" t="s">
        <v>356</v>
      </c>
      <c r="E63" s="42">
        <v>0</v>
      </c>
      <c r="F63" s="42">
        <v>0</v>
      </c>
      <c r="G63" s="42">
        <v>60657.494887989713</v>
      </c>
      <c r="H63" s="42">
        <v>0</v>
      </c>
      <c r="I63" s="42">
        <v>0</v>
      </c>
      <c r="J63" s="42">
        <v>182.63679201499335</v>
      </c>
      <c r="K63" s="42">
        <v>0</v>
      </c>
      <c r="L63" s="42">
        <v>0</v>
      </c>
      <c r="M63" s="42">
        <v>0</v>
      </c>
      <c r="N63" s="42">
        <v>60840.131680004706</v>
      </c>
      <c r="O63" s="2">
        <v>60840.131680004706</v>
      </c>
      <c r="P63" s="2">
        <v>0</v>
      </c>
      <c r="Q63" s="2">
        <v>60657.494887989713</v>
      </c>
      <c r="R63" s="2" t="s">
        <v>218</v>
      </c>
      <c r="S63" s="42">
        <v>0</v>
      </c>
      <c r="T63" s="42">
        <v>0</v>
      </c>
      <c r="U63" s="42">
        <v>92799.023307453332</v>
      </c>
      <c r="V63" s="42">
        <v>0</v>
      </c>
      <c r="W63" s="42">
        <v>0</v>
      </c>
      <c r="X63" s="42">
        <v>0</v>
      </c>
      <c r="Y63" s="42">
        <v>0</v>
      </c>
      <c r="Z63" s="42">
        <v>616.75359403770381</v>
      </c>
      <c r="AA63" s="42">
        <v>0</v>
      </c>
      <c r="AB63" s="42">
        <v>0</v>
      </c>
      <c r="AC63" s="42">
        <f t="shared" ref="AC63:AC65" si="137">SUM(S63:AB63)</f>
        <v>93415.77690149103</v>
      </c>
      <c r="AD63" s="2">
        <f t="shared" si="121"/>
        <v>93415.77690149103</v>
      </c>
      <c r="AE63" s="2">
        <f t="shared" si="122"/>
        <v>0</v>
      </c>
      <c r="AF63" s="2" t="s">
        <v>218</v>
      </c>
      <c r="AG63" s="42">
        <v>0</v>
      </c>
      <c r="AH63" s="42">
        <v>0</v>
      </c>
      <c r="AI63" s="42">
        <v>46398.53236174905</v>
      </c>
      <c r="AJ63" s="42">
        <v>0</v>
      </c>
      <c r="AK63" s="42">
        <v>0</v>
      </c>
      <c r="AL63" s="42">
        <v>0</v>
      </c>
      <c r="AM63" s="42">
        <v>0</v>
      </c>
      <c r="AN63" s="42">
        <v>24374.768041506693</v>
      </c>
      <c r="AO63" s="42">
        <v>0</v>
      </c>
      <c r="AP63" s="42">
        <v>7529.1540495429654</v>
      </c>
      <c r="AQ63" s="42">
        <v>0</v>
      </c>
      <c r="AR63" s="42">
        <f t="shared" ref="AR63:AR67" si="138">SUM(AG63:AQ63)</f>
        <v>78302.454452798702</v>
      </c>
      <c r="AS63" s="2">
        <f t="shared" si="123"/>
        <v>78302.454452798702</v>
      </c>
      <c r="AT63" s="2"/>
      <c r="AU63" s="2"/>
      <c r="AV63" s="2"/>
      <c r="AW63" s="2"/>
      <c r="AX63" s="2" t="s">
        <v>218</v>
      </c>
      <c r="AY63" s="42">
        <v>0</v>
      </c>
      <c r="AZ63" s="42">
        <v>0</v>
      </c>
      <c r="BA63" s="42">
        <v>0</v>
      </c>
      <c r="BB63" s="42">
        <v>0</v>
      </c>
      <c r="BC63" s="42">
        <v>0</v>
      </c>
      <c r="BD63" s="42">
        <v>0</v>
      </c>
      <c r="BE63" s="42">
        <v>0</v>
      </c>
      <c r="BF63" s="42">
        <v>49264.586454114266</v>
      </c>
      <c r="BG63" s="42">
        <v>0</v>
      </c>
      <c r="BH63" s="42">
        <v>13828.810850821757</v>
      </c>
      <c r="BI63" s="42">
        <v>12188.357387453005</v>
      </c>
      <c r="BJ63" s="42">
        <f t="shared" ref="BJ63:BJ67" si="139">SUM(AY63:BI63)</f>
        <v>75281.754692389019</v>
      </c>
      <c r="BK63" s="2">
        <f t="shared" si="124"/>
        <v>75281.754692389019</v>
      </c>
      <c r="BL63" s="2"/>
      <c r="BM63" s="2"/>
      <c r="BN63" s="2"/>
      <c r="BO63" s="2"/>
      <c r="BP63" s="4" t="s">
        <v>218</v>
      </c>
      <c r="BQ63" s="52">
        <v>0</v>
      </c>
      <c r="BR63" s="52">
        <v>0</v>
      </c>
      <c r="BS63" s="52">
        <v>4.0971257518038415</v>
      </c>
      <c r="BT63" s="52">
        <v>0</v>
      </c>
      <c r="BU63" s="52">
        <v>0</v>
      </c>
      <c r="BV63" s="52">
        <v>9.203391138027258E-3</v>
      </c>
      <c r="BW63" s="52">
        <v>0</v>
      </c>
      <c r="BX63" s="52">
        <v>0</v>
      </c>
      <c r="BY63" s="52">
        <v>0</v>
      </c>
      <c r="BZ63" s="52">
        <f t="shared" si="125"/>
        <v>4.1063291429418687</v>
      </c>
      <c r="CA63" s="52">
        <f t="shared" si="126"/>
        <v>4.1063291429418687</v>
      </c>
      <c r="CB63" s="52">
        <v>0</v>
      </c>
      <c r="CC63" s="4" t="s">
        <v>218</v>
      </c>
      <c r="CD63" s="52">
        <v>0</v>
      </c>
      <c r="CE63" s="52">
        <v>0</v>
      </c>
      <c r="CF63" s="52">
        <v>6.2681333747347683</v>
      </c>
      <c r="CG63" s="52">
        <v>0</v>
      </c>
      <c r="CH63" s="52">
        <v>0</v>
      </c>
      <c r="CI63" s="52">
        <v>0</v>
      </c>
      <c r="CJ63" s="52"/>
      <c r="CK63" s="52">
        <v>2.4604404079814894E-2</v>
      </c>
      <c r="CL63" s="52">
        <v>0</v>
      </c>
      <c r="CM63" s="52"/>
      <c r="CN63" s="52">
        <f t="shared" si="127"/>
        <v>6.2927377788145833</v>
      </c>
      <c r="CO63" s="52">
        <f t="shared" si="128"/>
        <v>6.2681333747347683</v>
      </c>
      <c r="CP63" s="52">
        <v>0</v>
      </c>
      <c r="CQ63" s="4" t="s">
        <v>218</v>
      </c>
      <c r="CR63" s="52">
        <v>0</v>
      </c>
      <c r="CS63" s="52">
        <v>0</v>
      </c>
      <c r="CT63" s="52">
        <v>3.1340005408443958</v>
      </c>
      <c r="CU63" s="52">
        <v>0</v>
      </c>
      <c r="CV63" s="52">
        <v>0</v>
      </c>
      <c r="CW63" s="52">
        <v>0</v>
      </c>
      <c r="CX63" s="52"/>
      <c r="CY63" s="52">
        <v>9.0973547623502765E-2</v>
      </c>
      <c r="CZ63" s="52">
        <v>0</v>
      </c>
      <c r="DA63" s="52"/>
      <c r="DB63" s="52">
        <f t="shared" si="129"/>
        <v>3.2249740884678988</v>
      </c>
      <c r="DC63" s="52">
        <f t="shared" si="130"/>
        <v>3.1340005408443958</v>
      </c>
      <c r="DE63" s="54">
        <f t="shared" si="131"/>
        <v>3.1340005408443958</v>
      </c>
      <c r="DF63" s="54">
        <f t="shared" si="132"/>
        <v>0</v>
      </c>
      <c r="DG63" s="52">
        <v>0</v>
      </c>
      <c r="DI63" s="4" t="s">
        <v>218</v>
      </c>
      <c r="DJ63" s="52">
        <v>0</v>
      </c>
      <c r="DK63" s="52">
        <v>0</v>
      </c>
      <c r="DL63" s="52">
        <v>0</v>
      </c>
      <c r="DM63" s="52">
        <v>0</v>
      </c>
      <c r="DN63" s="52">
        <v>0</v>
      </c>
      <c r="DO63" s="52">
        <v>0</v>
      </c>
      <c r="DP63" s="52"/>
      <c r="DQ63" s="52">
        <v>0</v>
      </c>
      <c r="DR63" s="52">
        <v>0</v>
      </c>
      <c r="DS63" s="52"/>
      <c r="DT63" s="52">
        <f t="shared" si="133"/>
        <v>0</v>
      </c>
      <c r="DU63" s="52">
        <f t="shared" si="134"/>
        <v>0</v>
      </c>
      <c r="DW63" s="54">
        <f t="shared" si="135"/>
        <v>0</v>
      </c>
      <c r="DX63" s="54">
        <f t="shared" si="136"/>
        <v>0</v>
      </c>
      <c r="DY63" s="52">
        <v>0</v>
      </c>
    </row>
    <row r="64" spans="1:129" s="4" customFormat="1">
      <c r="A64" s="40" t="s">
        <v>219</v>
      </c>
      <c r="B64" s="41"/>
      <c r="C64" s="44" t="s">
        <v>220</v>
      </c>
      <c r="D64" s="88" t="s">
        <v>357</v>
      </c>
      <c r="E64" s="42">
        <v>0</v>
      </c>
      <c r="F64" s="42">
        <v>0</v>
      </c>
      <c r="G64" s="42">
        <v>11853.174496766846</v>
      </c>
      <c r="H64" s="42">
        <v>0</v>
      </c>
      <c r="I64" s="42">
        <v>0</v>
      </c>
      <c r="J64" s="42">
        <v>0</v>
      </c>
      <c r="K64" s="42">
        <v>0</v>
      </c>
      <c r="L64" s="42">
        <v>0</v>
      </c>
      <c r="M64" s="42">
        <v>0</v>
      </c>
      <c r="N64" s="42">
        <v>11853.174496766846</v>
      </c>
      <c r="O64" s="2">
        <v>11853.174496766846</v>
      </c>
      <c r="P64" s="2">
        <v>0</v>
      </c>
      <c r="Q64" s="2">
        <v>11853.174496766846</v>
      </c>
      <c r="R64" s="2" t="s">
        <v>221</v>
      </c>
      <c r="S64" s="42">
        <v>0</v>
      </c>
      <c r="T64" s="42">
        <v>0</v>
      </c>
      <c r="U64" s="42">
        <v>8877.0131322073794</v>
      </c>
      <c r="V64" s="42">
        <v>0</v>
      </c>
      <c r="W64" s="42">
        <v>0</v>
      </c>
      <c r="X64" s="42">
        <v>0</v>
      </c>
      <c r="Y64" s="42">
        <v>0</v>
      </c>
      <c r="Z64" s="42">
        <v>986.33479246748675</v>
      </c>
      <c r="AA64" s="42">
        <v>0</v>
      </c>
      <c r="AB64" s="42">
        <v>0</v>
      </c>
      <c r="AC64" s="42">
        <f t="shared" si="137"/>
        <v>9863.3479246748666</v>
      </c>
      <c r="AD64" s="2">
        <f t="shared" si="121"/>
        <v>9863.3479246748666</v>
      </c>
      <c r="AE64" s="2">
        <f t="shared" si="122"/>
        <v>0</v>
      </c>
      <c r="AF64" s="2" t="s">
        <v>221</v>
      </c>
      <c r="AG64" s="42">
        <v>0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8067.57365671768</v>
      </c>
      <c r="AO64" s="42">
        <v>0</v>
      </c>
      <c r="AP64" s="42">
        <v>0</v>
      </c>
      <c r="AQ64" s="42">
        <v>0</v>
      </c>
      <c r="AR64" s="42">
        <f t="shared" si="138"/>
        <v>8067.57365671768</v>
      </c>
      <c r="AS64" s="2">
        <f t="shared" si="123"/>
        <v>8067.57365671768</v>
      </c>
      <c r="AT64" s="2"/>
      <c r="AU64" s="2"/>
      <c r="AV64" s="2"/>
      <c r="AW64" s="2"/>
      <c r="AX64" s="2" t="s">
        <v>221</v>
      </c>
      <c r="AY64" s="42">
        <v>0</v>
      </c>
      <c r="AZ64" s="42">
        <v>0</v>
      </c>
      <c r="BA64" s="42">
        <v>0</v>
      </c>
      <c r="BB64" s="42">
        <v>0</v>
      </c>
      <c r="BC64" s="42">
        <v>0</v>
      </c>
      <c r="BD64" s="42">
        <v>0</v>
      </c>
      <c r="BE64" s="42">
        <v>0</v>
      </c>
      <c r="BF64" s="42">
        <v>7072.0107446890624</v>
      </c>
      <c r="BG64" s="42">
        <v>0</v>
      </c>
      <c r="BH64" s="42">
        <v>0</v>
      </c>
      <c r="BI64" s="42">
        <v>0</v>
      </c>
      <c r="BJ64" s="42">
        <f t="shared" si="139"/>
        <v>7072.0107446890624</v>
      </c>
      <c r="BK64" s="2">
        <f t="shared" si="124"/>
        <v>7072.0107446890624</v>
      </c>
      <c r="BL64" s="2"/>
      <c r="BM64" s="2"/>
      <c r="BN64" s="2"/>
      <c r="BO64" s="2"/>
      <c r="BP64" s="4" t="s">
        <v>221</v>
      </c>
      <c r="BQ64" s="52">
        <v>0</v>
      </c>
      <c r="BR64" s="52">
        <v>0</v>
      </c>
      <c r="BS64" s="52">
        <v>0.78994095915421292</v>
      </c>
      <c r="BT64" s="52">
        <v>0</v>
      </c>
      <c r="BU64" s="52">
        <v>0</v>
      </c>
      <c r="BV64" s="52">
        <v>0</v>
      </c>
      <c r="BW64" s="52">
        <v>0</v>
      </c>
      <c r="BX64" s="52">
        <v>0</v>
      </c>
      <c r="BY64" s="52">
        <v>0</v>
      </c>
      <c r="BZ64" s="52">
        <f t="shared" si="125"/>
        <v>0.78994095915421292</v>
      </c>
      <c r="CA64" s="52">
        <f t="shared" si="126"/>
        <v>0.78994095915421292</v>
      </c>
      <c r="CB64" s="52">
        <v>0</v>
      </c>
      <c r="CC64" s="4" t="s">
        <v>221</v>
      </c>
      <c r="CD64" s="52">
        <v>0</v>
      </c>
      <c r="CE64" s="52">
        <v>0</v>
      </c>
      <c r="CF64" s="52">
        <v>0.59159816384996011</v>
      </c>
      <c r="CG64" s="52">
        <v>0</v>
      </c>
      <c r="CH64" s="52">
        <v>0</v>
      </c>
      <c r="CI64" s="52">
        <v>0</v>
      </c>
      <c r="CJ64" s="52"/>
      <c r="CK64" s="52">
        <v>3.9348258407338653E-2</v>
      </c>
      <c r="CL64" s="52">
        <v>0</v>
      </c>
      <c r="CM64" s="52"/>
      <c r="CN64" s="52">
        <f t="shared" si="127"/>
        <v>0.6309464222572988</v>
      </c>
      <c r="CO64" s="52">
        <f t="shared" si="128"/>
        <v>0.59159816384996011</v>
      </c>
      <c r="CP64" s="52">
        <v>0</v>
      </c>
      <c r="CQ64" s="4" t="s">
        <v>221</v>
      </c>
      <c r="CR64" s="52">
        <v>0</v>
      </c>
      <c r="CS64" s="52">
        <v>0</v>
      </c>
      <c r="CT64" s="52">
        <v>0</v>
      </c>
      <c r="CU64" s="52">
        <v>0</v>
      </c>
      <c r="CV64" s="52">
        <v>0</v>
      </c>
      <c r="CW64" s="52">
        <v>0</v>
      </c>
      <c r="CX64" s="52"/>
      <c r="CY64" s="52">
        <v>3.011047305212243E-2</v>
      </c>
      <c r="CZ64" s="52">
        <v>0</v>
      </c>
      <c r="DA64" s="52"/>
      <c r="DB64" s="52">
        <f t="shared" si="129"/>
        <v>3.011047305212243E-2</v>
      </c>
      <c r="DC64" s="52">
        <f t="shared" si="130"/>
        <v>0</v>
      </c>
      <c r="DE64" s="54">
        <f t="shared" si="131"/>
        <v>0</v>
      </c>
      <c r="DF64" s="54">
        <f t="shared" si="132"/>
        <v>0</v>
      </c>
      <c r="DG64" s="52">
        <v>0</v>
      </c>
      <c r="DI64" s="4" t="s">
        <v>221</v>
      </c>
      <c r="DJ64" s="52">
        <v>0</v>
      </c>
      <c r="DK64" s="52">
        <v>0</v>
      </c>
      <c r="DL64" s="52">
        <v>0</v>
      </c>
      <c r="DM64" s="52">
        <v>0</v>
      </c>
      <c r="DN64" s="52">
        <v>0</v>
      </c>
      <c r="DO64" s="52">
        <v>0</v>
      </c>
      <c r="DP64" s="52"/>
      <c r="DQ64" s="52">
        <v>0</v>
      </c>
      <c r="DR64" s="52">
        <v>0</v>
      </c>
      <c r="DS64" s="52"/>
      <c r="DT64" s="52">
        <f t="shared" si="133"/>
        <v>0</v>
      </c>
      <c r="DU64" s="52">
        <f t="shared" si="134"/>
        <v>0</v>
      </c>
      <c r="DW64" s="54">
        <f t="shared" si="135"/>
        <v>0</v>
      </c>
      <c r="DX64" s="54">
        <f t="shared" si="136"/>
        <v>0</v>
      </c>
      <c r="DY64" s="52">
        <v>0</v>
      </c>
    </row>
    <row r="65" spans="1:129" s="4" customFormat="1">
      <c r="A65" s="40" t="s">
        <v>222</v>
      </c>
      <c r="B65" s="41" t="s">
        <v>223</v>
      </c>
      <c r="C65" s="44" t="s">
        <v>224</v>
      </c>
      <c r="D65" s="88" t="s">
        <v>358</v>
      </c>
      <c r="E65" s="42">
        <v>39.080609180227164</v>
      </c>
      <c r="F65" s="42">
        <v>0</v>
      </c>
      <c r="G65" s="42">
        <v>6172.0391259945691</v>
      </c>
      <c r="H65" s="42">
        <v>0</v>
      </c>
      <c r="I65" s="42">
        <v>0</v>
      </c>
      <c r="J65" s="42">
        <v>0</v>
      </c>
      <c r="K65" s="42">
        <v>0</v>
      </c>
      <c r="L65" s="42">
        <v>60071.697778319998</v>
      </c>
      <c r="M65" s="42">
        <v>0</v>
      </c>
      <c r="N65" s="42">
        <v>66282.817513494796</v>
      </c>
      <c r="O65" s="2">
        <v>66282.817513494796</v>
      </c>
      <c r="P65" s="2">
        <v>172.06692548285423</v>
      </c>
      <c r="Q65" s="2">
        <v>6344.1060514774235</v>
      </c>
      <c r="R65" s="2" t="s">
        <v>225</v>
      </c>
      <c r="S65" s="42">
        <v>0</v>
      </c>
      <c r="T65" s="42">
        <v>0</v>
      </c>
      <c r="U65" s="42">
        <v>2843.638829022253</v>
      </c>
      <c r="V65" s="42">
        <v>0</v>
      </c>
      <c r="W65" s="42">
        <v>0</v>
      </c>
      <c r="X65" s="42">
        <v>0</v>
      </c>
      <c r="Y65" s="42">
        <v>0</v>
      </c>
      <c r="Z65" s="42">
        <v>54029.137751422801</v>
      </c>
      <c r="AA65" s="42">
        <v>0</v>
      </c>
      <c r="AB65" s="42">
        <v>0</v>
      </c>
      <c r="AC65" s="42">
        <f t="shared" si="137"/>
        <v>56872.776580445054</v>
      </c>
      <c r="AD65" s="2">
        <f t="shared" si="121"/>
        <v>56872.776580445054</v>
      </c>
      <c r="AE65" s="2">
        <f t="shared" si="122"/>
        <v>147.63892328321887</v>
      </c>
      <c r="AF65" s="2" t="s">
        <v>225</v>
      </c>
      <c r="AG65" s="42">
        <v>0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33505.103599882408</v>
      </c>
      <c r="AO65" s="42">
        <v>0</v>
      </c>
      <c r="AP65" s="42">
        <v>0</v>
      </c>
      <c r="AQ65" s="42">
        <v>0</v>
      </c>
      <c r="AR65" s="42">
        <f t="shared" si="138"/>
        <v>33505.103599882408</v>
      </c>
      <c r="AS65" s="2">
        <f t="shared" si="123"/>
        <v>33505.103599882408</v>
      </c>
      <c r="AT65" s="2"/>
      <c r="AU65" s="2"/>
      <c r="AV65" s="2"/>
      <c r="AW65" s="2"/>
      <c r="AX65" s="2" t="s">
        <v>225</v>
      </c>
      <c r="AY65" s="42">
        <v>0</v>
      </c>
      <c r="AZ65" s="42">
        <v>0</v>
      </c>
      <c r="BA65" s="42">
        <v>0</v>
      </c>
      <c r="BB65" s="42">
        <v>0</v>
      </c>
      <c r="BC65" s="42">
        <v>0</v>
      </c>
      <c r="BD65" s="42">
        <v>0</v>
      </c>
      <c r="BE65" s="42">
        <v>0</v>
      </c>
      <c r="BF65" s="42">
        <v>26917.222874352661</v>
      </c>
      <c r="BG65" s="42">
        <v>0</v>
      </c>
      <c r="BH65" s="42">
        <v>0</v>
      </c>
      <c r="BI65" s="42">
        <v>0</v>
      </c>
      <c r="BJ65" s="42">
        <f t="shared" si="139"/>
        <v>26917.222874352661</v>
      </c>
      <c r="BK65" s="2">
        <f t="shared" si="124"/>
        <v>26917.222874352661</v>
      </c>
      <c r="BL65" s="2"/>
      <c r="BM65" s="2"/>
      <c r="BN65" s="2"/>
      <c r="BO65" s="2"/>
      <c r="BP65" s="4" t="s">
        <v>225</v>
      </c>
      <c r="BQ65" s="52">
        <v>3.4915532809369639E-3</v>
      </c>
      <c r="BR65" s="52">
        <v>0</v>
      </c>
      <c r="BS65" s="52">
        <v>0.4258958155692355</v>
      </c>
      <c r="BT65" s="52">
        <v>0</v>
      </c>
      <c r="BU65" s="52">
        <v>0</v>
      </c>
      <c r="BV65" s="52">
        <v>0</v>
      </c>
      <c r="BW65" s="52">
        <v>0</v>
      </c>
      <c r="BX65" s="52">
        <v>8.2274682538525834</v>
      </c>
      <c r="BY65" s="52">
        <v>0</v>
      </c>
      <c r="BZ65" s="52">
        <f t="shared" si="125"/>
        <v>8.6568556227027553</v>
      </c>
      <c r="CA65" s="52">
        <f t="shared" si="126"/>
        <v>0.42938736885017192</v>
      </c>
      <c r="CB65" s="52">
        <v>1.2546698331533036E-2</v>
      </c>
      <c r="CC65" s="4" t="s">
        <v>225</v>
      </c>
      <c r="CD65" s="52">
        <v>0</v>
      </c>
      <c r="CE65" s="52">
        <v>0</v>
      </c>
      <c r="CF65" s="52">
        <v>0.19622265082054569</v>
      </c>
      <c r="CG65" s="52">
        <v>0</v>
      </c>
      <c r="CH65" s="52">
        <v>0</v>
      </c>
      <c r="CI65" s="52">
        <v>0</v>
      </c>
      <c r="CJ65" s="52"/>
      <c r="CK65" s="52">
        <v>2.1554065516134164</v>
      </c>
      <c r="CL65" s="52">
        <v>0</v>
      </c>
      <c r="CM65" s="52"/>
      <c r="CN65" s="52">
        <f t="shared" si="127"/>
        <v>2.351629202433962</v>
      </c>
      <c r="CO65" s="52">
        <f t="shared" si="128"/>
        <v>0.19622265082054569</v>
      </c>
      <c r="CP65" s="52">
        <v>1.0765468303851796E-2</v>
      </c>
      <c r="CQ65" s="4" t="s">
        <v>225</v>
      </c>
      <c r="CR65" s="52">
        <v>0</v>
      </c>
      <c r="CS65" s="52">
        <v>0</v>
      </c>
      <c r="CT65" s="52">
        <v>0</v>
      </c>
      <c r="CU65" s="52">
        <v>0</v>
      </c>
      <c r="CV65" s="52">
        <v>0</v>
      </c>
      <c r="CW65" s="52">
        <v>0</v>
      </c>
      <c r="CX65" s="52"/>
      <c r="CY65" s="52">
        <v>0.12505054951841435</v>
      </c>
      <c r="CZ65" s="52">
        <v>0</v>
      </c>
      <c r="DA65" s="52"/>
      <c r="DB65" s="52">
        <f t="shared" si="129"/>
        <v>0.12505054951841435</v>
      </c>
      <c r="DC65" s="52">
        <f t="shared" si="130"/>
        <v>0</v>
      </c>
      <c r="DE65" s="54">
        <f t="shared" si="131"/>
        <v>0</v>
      </c>
      <c r="DF65" s="54">
        <f t="shared" si="132"/>
        <v>0</v>
      </c>
      <c r="DG65" s="52">
        <v>0</v>
      </c>
      <c r="DI65" s="4" t="s">
        <v>225</v>
      </c>
      <c r="DJ65" s="52">
        <v>0</v>
      </c>
      <c r="DK65" s="52">
        <v>0</v>
      </c>
      <c r="DL65" s="52">
        <v>0</v>
      </c>
      <c r="DM65" s="52">
        <v>0</v>
      </c>
      <c r="DN65" s="52">
        <v>0</v>
      </c>
      <c r="DO65" s="52">
        <v>0</v>
      </c>
      <c r="DP65" s="52"/>
      <c r="DQ65" s="52">
        <v>0</v>
      </c>
      <c r="DR65" s="52">
        <v>0</v>
      </c>
      <c r="DS65" s="52"/>
      <c r="DT65" s="52">
        <f t="shared" si="133"/>
        <v>0</v>
      </c>
      <c r="DU65" s="52">
        <f t="shared" si="134"/>
        <v>0</v>
      </c>
      <c r="DW65" s="54">
        <f t="shared" si="135"/>
        <v>0</v>
      </c>
      <c r="DX65" s="54">
        <f t="shared" si="136"/>
        <v>0</v>
      </c>
      <c r="DY65" s="52">
        <v>0</v>
      </c>
    </row>
    <row r="66" spans="1:129" s="4" customFormat="1">
      <c r="A66" s="40" t="s">
        <v>226</v>
      </c>
      <c r="B66" s="41" t="s">
        <v>227</v>
      </c>
      <c r="C66" s="44" t="s">
        <v>228</v>
      </c>
      <c r="D66" s="88" t="s">
        <v>359</v>
      </c>
      <c r="E66" s="42">
        <v>0</v>
      </c>
      <c r="F66" s="42">
        <v>0</v>
      </c>
      <c r="G66" s="42">
        <v>46027.679557767857</v>
      </c>
      <c r="H66" s="42">
        <v>0</v>
      </c>
      <c r="I66" s="42">
        <v>0</v>
      </c>
      <c r="J66" s="42">
        <v>0</v>
      </c>
      <c r="K66" s="42">
        <v>0</v>
      </c>
      <c r="L66" s="42">
        <v>0</v>
      </c>
      <c r="M66" s="42">
        <v>0</v>
      </c>
      <c r="N66" s="42">
        <v>46027.679557767857</v>
      </c>
      <c r="O66" s="2">
        <v>46027.679557767857</v>
      </c>
      <c r="P66" s="2">
        <v>0</v>
      </c>
      <c r="Q66" s="2">
        <v>46027.679557767857</v>
      </c>
      <c r="R66" s="2" t="s">
        <v>229</v>
      </c>
      <c r="S66" s="42">
        <v>0</v>
      </c>
      <c r="T66" s="42">
        <v>0</v>
      </c>
      <c r="U66" s="42">
        <v>19081.415218452519</v>
      </c>
      <c r="V66" s="42">
        <v>0</v>
      </c>
      <c r="W66" s="42">
        <v>0</v>
      </c>
      <c r="X66" s="42">
        <v>12295.587777881436</v>
      </c>
      <c r="Y66" s="42">
        <v>89.44410833977652</v>
      </c>
      <c r="Z66" s="42">
        <v>1979.3561001384467</v>
      </c>
      <c r="AA66" s="42">
        <v>0</v>
      </c>
      <c r="AB66" s="42">
        <v>0</v>
      </c>
      <c r="AC66" s="42">
        <v>29615.47962792822</v>
      </c>
      <c r="AD66" s="2">
        <f t="shared" si="121"/>
        <v>29615.47962792822</v>
      </c>
      <c r="AE66" s="2">
        <f t="shared" si="122"/>
        <v>0</v>
      </c>
      <c r="AF66" s="2" t="s">
        <v>229</v>
      </c>
      <c r="AG66" s="42">
        <v>0</v>
      </c>
      <c r="AH66" s="42">
        <v>0</v>
      </c>
      <c r="AI66" s="42">
        <v>6048.7194241088546</v>
      </c>
      <c r="AJ66" s="42">
        <v>0</v>
      </c>
      <c r="AK66" s="42">
        <v>0</v>
      </c>
      <c r="AL66" s="42">
        <v>8625.491507147075</v>
      </c>
      <c r="AM66" s="42">
        <v>577.68199335430825</v>
      </c>
      <c r="AN66" s="42">
        <v>3813.3266928833477</v>
      </c>
      <c r="AO66" s="42">
        <v>0</v>
      </c>
      <c r="AP66" s="42">
        <v>13282.071133931271</v>
      </c>
      <c r="AQ66" s="42">
        <v>0</v>
      </c>
      <c r="AR66" s="42">
        <f t="shared" si="138"/>
        <v>32347.290751424858</v>
      </c>
      <c r="AS66" s="2">
        <f t="shared" si="123"/>
        <v>32347.290751424858</v>
      </c>
      <c r="AT66" s="2"/>
      <c r="AU66" s="2"/>
      <c r="AV66" s="2"/>
      <c r="AW66" s="2"/>
      <c r="AX66" s="2" t="s">
        <v>229</v>
      </c>
      <c r="AY66" s="42">
        <v>0</v>
      </c>
      <c r="AZ66" s="42">
        <v>0</v>
      </c>
      <c r="BA66" s="42">
        <v>0</v>
      </c>
      <c r="BB66" s="42">
        <v>0</v>
      </c>
      <c r="BC66" s="42">
        <v>0</v>
      </c>
      <c r="BD66" s="42">
        <v>0</v>
      </c>
      <c r="BE66" s="42">
        <v>1000.072968312149</v>
      </c>
      <c r="BF66" s="42">
        <v>5389.2634896050067</v>
      </c>
      <c r="BG66" s="42">
        <v>0</v>
      </c>
      <c r="BH66" s="42">
        <v>24788.668502475932</v>
      </c>
      <c r="BI66" s="42">
        <v>0</v>
      </c>
      <c r="BJ66" s="42">
        <f t="shared" si="139"/>
        <v>31178.004960393089</v>
      </c>
      <c r="BK66" s="2">
        <f t="shared" si="124"/>
        <v>31178.004960393089</v>
      </c>
      <c r="BL66" s="2"/>
      <c r="BM66" s="2"/>
      <c r="BN66" s="2"/>
      <c r="BO66" s="2"/>
      <c r="BP66" s="4" t="s">
        <v>229</v>
      </c>
      <c r="BQ66" s="52">
        <v>0</v>
      </c>
      <c r="BR66" s="52">
        <v>0</v>
      </c>
      <c r="BS66" s="52">
        <v>3.3540750414912166</v>
      </c>
      <c r="BT66" s="52">
        <v>0</v>
      </c>
      <c r="BU66" s="52">
        <v>0</v>
      </c>
      <c r="BV66" s="52">
        <v>0</v>
      </c>
      <c r="BW66" s="52">
        <v>0</v>
      </c>
      <c r="BX66" s="52">
        <v>0</v>
      </c>
      <c r="BY66" s="52">
        <v>0</v>
      </c>
      <c r="BZ66" s="52">
        <f t="shared" si="125"/>
        <v>3.3540750414912166</v>
      </c>
      <c r="CA66" s="52">
        <f t="shared" si="126"/>
        <v>3.3540750414912166</v>
      </c>
      <c r="CB66" s="52">
        <v>0</v>
      </c>
      <c r="CC66" s="4" t="s">
        <v>229</v>
      </c>
      <c r="CD66" s="52">
        <v>0</v>
      </c>
      <c r="CE66" s="52">
        <v>0</v>
      </c>
      <c r="CF66" s="52">
        <v>1.3904784937119696</v>
      </c>
      <c r="CG66" s="52">
        <v>0</v>
      </c>
      <c r="CH66" s="52">
        <v>0</v>
      </c>
      <c r="CI66" s="52">
        <v>0.63286574305227661</v>
      </c>
      <c r="CJ66" s="52"/>
      <c r="CK66" s="52">
        <v>7.8963264708070247E-2</v>
      </c>
      <c r="CL66" s="52">
        <v>0</v>
      </c>
      <c r="CM66" s="52"/>
      <c r="CN66" s="52">
        <f t="shared" si="127"/>
        <v>2.1023075014723167</v>
      </c>
      <c r="CO66" s="52">
        <f t="shared" si="128"/>
        <v>2.0233442367642462</v>
      </c>
      <c r="CP66" s="52">
        <v>0</v>
      </c>
      <c r="CQ66" s="4" t="s">
        <v>229</v>
      </c>
      <c r="CR66" s="52">
        <v>0</v>
      </c>
      <c r="CS66" s="52">
        <v>0</v>
      </c>
      <c r="CT66" s="52">
        <v>0.4407751824187443</v>
      </c>
      <c r="CU66" s="52">
        <v>0</v>
      </c>
      <c r="CV66" s="52">
        <v>0</v>
      </c>
      <c r="CW66" s="52">
        <v>0.44396235385196836</v>
      </c>
      <c r="CX66" s="52"/>
      <c r="CY66" s="52">
        <v>1.4232416772469671E-2</v>
      </c>
      <c r="CZ66" s="52">
        <v>0</v>
      </c>
      <c r="DA66" s="52"/>
      <c r="DB66" s="52">
        <f t="shared" si="129"/>
        <v>0.89896995304318228</v>
      </c>
      <c r="DC66" s="52">
        <f t="shared" si="130"/>
        <v>0.88473753627071261</v>
      </c>
      <c r="DE66" s="54">
        <f t="shared" si="131"/>
        <v>0.88473753627071261</v>
      </c>
      <c r="DF66" s="54">
        <f t="shared" si="132"/>
        <v>0</v>
      </c>
      <c r="DG66" s="52">
        <v>0</v>
      </c>
      <c r="DI66" s="4" t="s">
        <v>229</v>
      </c>
      <c r="DJ66" s="52">
        <v>0</v>
      </c>
      <c r="DK66" s="52">
        <v>0</v>
      </c>
      <c r="DL66" s="52">
        <v>0</v>
      </c>
      <c r="DM66" s="52">
        <v>0</v>
      </c>
      <c r="DN66" s="52">
        <v>0</v>
      </c>
      <c r="DO66" s="52">
        <v>0</v>
      </c>
      <c r="DP66" s="52"/>
      <c r="DQ66" s="52">
        <v>0</v>
      </c>
      <c r="DR66" s="52">
        <v>0</v>
      </c>
      <c r="DS66" s="52"/>
      <c r="DT66" s="52">
        <f t="shared" si="133"/>
        <v>0</v>
      </c>
      <c r="DU66" s="52">
        <f t="shared" si="134"/>
        <v>0</v>
      </c>
      <c r="DW66" s="54">
        <f t="shared" si="135"/>
        <v>0</v>
      </c>
      <c r="DX66" s="54">
        <f t="shared" si="136"/>
        <v>0</v>
      </c>
      <c r="DY66" s="52">
        <v>0</v>
      </c>
    </row>
    <row r="67" spans="1:129" s="4" customFormat="1">
      <c r="A67" s="40" t="s">
        <v>230</v>
      </c>
      <c r="B67" s="41" t="s">
        <v>231</v>
      </c>
      <c r="C67" s="44" t="s">
        <v>232</v>
      </c>
      <c r="D67" s="88" t="s">
        <v>360</v>
      </c>
      <c r="E67" s="42">
        <v>0</v>
      </c>
      <c r="F67" s="42">
        <v>0</v>
      </c>
      <c r="G67" s="42">
        <v>131917.80334644383</v>
      </c>
      <c r="H67" s="42">
        <v>0</v>
      </c>
      <c r="I67" s="42">
        <v>0</v>
      </c>
      <c r="J67" s="42">
        <v>0</v>
      </c>
      <c r="K67" s="42">
        <v>0</v>
      </c>
      <c r="L67" s="42">
        <v>0</v>
      </c>
      <c r="M67" s="42">
        <v>0</v>
      </c>
      <c r="N67" s="42">
        <v>131917.80334644383</v>
      </c>
      <c r="O67" s="2">
        <v>131917.80334644383</v>
      </c>
      <c r="P67" s="2">
        <v>0</v>
      </c>
      <c r="Q67" s="2">
        <v>131917.80334644383</v>
      </c>
      <c r="R67" s="9" t="s">
        <v>233</v>
      </c>
      <c r="S67" s="42">
        <v>0</v>
      </c>
      <c r="T67" s="42">
        <v>0</v>
      </c>
      <c r="U67" s="42">
        <v>90825.407604026579</v>
      </c>
      <c r="V67" s="42">
        <v>0</v>
      </c>
      <c r="W67" s="42">
        <v>0</v>
      </c>
      <c r="X67" s="42">
        <v>0</v>
      </c>
      <c r="Y67" s="42">
        <v>5045.8559780014775</v>
      </c>
      <c r="Z67" s="42">
        <v>0</v>
      </c>
      <c r="AA67" s="42">
        <v>0</v>
      </c>
      <c r="AB67" s="42">
        <v>0</v>
      </c>
      <c r="AC67" s="42">
        <v>90231.777488967578</v>
      </c>
      <c r="AD67" s="2">
        <f t="shared" si="121"/>
        <v>90231.777488967578</v>
      </c>
      <c r="AE67" s="2">
        <f t="shared" si="122"/>
        <v>0</v>
      </c>
      <c r="AF67" s="9" t="s">
        <v>233</v>
      </c>
      <c r="AG67" s="42">
        <v>0</v>
      </c>
      <c r="AH67" s="42">
        <v>0</v>
      </c>
      <c r="AI67" s="42">
        <v>34443.27240992141</v>
      </c>
      <c r="AJ67" s="42">
        <v>0</v>
      </c>
      <c r="AK67" s="42">
        <v>0</v>
      </c>
      <c r="AL67" s="42">
        <v>0</v>
      </c>
      <c r="AM67" s="42">
        <v>7732.1631940639909</v>
      </c>
      <c r="AN67" s="42">
        <v>648.94941093037073</v>
      </c>
      <c r="AO67" s="42">
        <v>0</v>
      </c>
      <c r="AP67" s="42">
        <v>4920.4674871316311</v>
      </c>
      <c r="AQ67" s="42">
        <v>22493.565655458882</v>
      </c>
      <c r="AR67" s="42">
        <f t="shared" si="138"/>
        <v>70238.418157506283</v>
      </c>
      <c r="AS67" s="2">
        <f t="shared" si="123"/>
        <v>70238.418157506283</v>
      </c>
      <c r="AT67" s="2"/>
      <c r="AU67" s="2"/>
      <c r="AV67" s="2"/>
      <c r="AW67" s="2"/>
      <c r="AX67" s="9" t="s">
        <v>233</v>
      </c>
      <c r="AY67" s="42">
        <v>0</v>
      </c>
      <c r="AZ67" s="42">
        <v>0</v>
      </c>
      <c r="BA67" s="42">
        <v>5247.5394918587117</v>
      </c>
      <c r="BB67" s="42">
        <v>0</v>
      </c>
      <c r="BC67" s="42">
        <v>0</v>
      </c>
      <c r="BD67" s="42">
        <v>0</v>
      </c>
      <c r="BE67" s="42">
        <v>11151.021420199771</v>
      </c>
      <c r="BF67" s="42">
        <v>1211.1508559334625</v>
      </c>
      <c r="BG67" s="42">
        <v>0</v>
      </c>
      <c r="BH67" s="42">
        <v>9183.1941107527509</v>
      </c>
      <c r="BI67" s="42">
        <v>38700.603752458017</v>
      </c>
      <c r="BJ67" s="42">
        <f t="shared" si="139"/>
        <v>65493.509631202716</v>
      </c>
      <c r="BK67" s="2">
        <f t="shared" si="124"/>
        <v>65493.509631202716</v>
      </c>
      <c r="BL67" s="2"/>
      <c r="BM67" s="2"/>
      <c r="BN67" s="2"/>
      <c r="BO67" s="2"/>
      <c r="BP67" s="4" t="s">
        <v>233</v>
      </c>
      <c r="BQ67" s="52">
        <v>0</v>
      </c>
      <c r="BR67" s="52">
        <v>0</v>
      </c>
      <c r="BS67" s="52">
        <v>8.9940618845392049</v>
      </c>
      <c r="BT67" s="52">
        <v>0</v>
      </c>
      <c r="BU67" s="52">
        <v>0</v>
      </c>
      <c r="BV67" s="52">
        <v>0</v>
      </c>
      <c r="BW67" s="52">
        <v>0</v>
      </c>
      <c r="BX67" s="52">
        <v>0</v>
      </c>
      <c r="BY67" s="52">
        <v>0</v>
      </c>
      <c r="BZ67" s="52">
        <f t="shared" si="125"/>
        <v>8.9940618845392049</v>
      </c>
      <c r="CA67" s="52">
        <f t="shared" si="126"/>
        <v>8.9940618845392049</v>
      </c>
      <c r="CB67" s="52">
        <v>0</v>
      </c>
      <c r="CC67" s="4" t="s">
        <v>233</v>
      </c>
      <c r="CD67" s="52">
        <v>0</v>
      </c>
      <c r="CE67" s="52">
        <v>0</v>
      </c>
      <c r="CF67" s="52">
        <v>6.1924116075052424</v>
      </c>
      <c r="CG67" s="52">
        <v>0</v>
      </c>
      <c r="CH67" s="52">
        <v>0</v>
      </c>
      <c r="CI67" s="52">
        <v>0</v>
      </c>
      <c r="CJ67" s="52"/>
      <c r="CK67" s="52">
        <v>0</v>
      </c>
      <c r="CL67" s="52">
        <v>0</v>
      </c>
      <c r="CM67" s="52"/>
      <c r="CN67" s="52">
        <f t="shared" si="127"/>
        <v>6.1924116075052424</v>
      </c>
      <c r="CO67" s="52">
        <f t="shared" si="128"/>
        <v>6.1924116075052424</v>
      </c>
      <c r="CP67" s="52">
        <v>0</v>
      </c>
      <c r="CQ67" s="4" t="s">
        <v>233</v>
      </c>
      <c r="CR67" s="52">
        <v>0</v>
      </c>
      <c r="CS67" s="52">
        <v>0</v>
      </c>
      <c r="CT67" s="52">
        <v>2.3483177835164124</v>
      </c>
      <c r="CU67" s="52">
        <v>0</v>
      </c>
      <c r="CV67" s="52">
        <v>0</v>
      </c>
      <c r="CW67" s="52">
        <v>0</v>
      </c>
      <c r="CX67" s="52"/>
      <c r="CY67" s="52">
        <v>2.4220632598425684E-3</v>
      </c>
      <c r="CZ67" s="52">
        <v>0</v>
      </c>
      <c r="DA67" s="52"/>
      <c r="DB67" s="52">
        <f t="shared" si="129"/>
        <v>2.3507398467762548</v>
      </c>
      <c r="DC67" s="52">
        <f t="shared" si="130"/>
        <v>2.3483177835164124</v>
      </c>
      <c r="DE67" s="54">
        <f t="shared" si="131"/>
        <v>2.3483177835164124</v>
      </c>
      <c r="DF67" s="54">
        <f t="shared" si="132"/>
        <v>0</v>
      </c>
      <c r="DG67" s="52">
        <v>0</v>
      </c>
      <c r="DI67" s="4" t="s">
        <v>233</v>
      </c>
      <c r="DJ67" s="52">
        <v>0</v>
      </c>
      <c r="DK67" s="52">
        <v>0</v>
      </c>
      <c r="DL67" s="52">
        <v>0.35777350542589192</v>
      </c>
      <c r="DM67" s="52">
        <v>0</v>
      </c>
      <c r="DN67" s="52">
        <v>0</v>
      </c>
      <c r="DO67" s="52">
        <v>0</v>
      </c>
      <c r="DP67" s="52"/>
      <c r="DQ67" s="52">
        <v>0</v>
      </c>
      <c r="DR67" s="52">
        <v>0</v>
      </c>
      <c r="DS67" s="52"/>
      <c r="DT67" s="52">
        <f t="shared" si="133"/>
        <v>0.35777350542589192</v>
      </c>
      <c r="DU67" s="52">
        <f t="shared" si="134"/>
        <v>0.35777350542589192</v>
      </c>
      <c r="DW67" s="54">
        <f t="shared" si="135"/>
        <v>0.35777350542589192</v>
      </c>
      <c r="DX67" s="54">
        <f t="shared" si="136"/>
        <v>0</v>
      </c>
      <c r="DY67" s="52">
        <v>0</v>
      </c>
    </row>
    <row r="68" spans="1:129" s="4" customFormat="1">
      <c r="A68" s="23"/>
      <c r="B68" s="35"/>
      <c r="C68" s="35"/>
      <c r="D68" s="35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2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2"/>
      <c r="AG68" s="9"/>
      <c r="AH68" s="9"/>
      <c r="AI68" s="9"/>
      <c r="AJ68" s="9"/>
      <c r="AK68" s="9"/>
      <c r="AL68" s="9"/>
      <c r="AM68" s="9"/>
      <c r="AN68" s="2">
        <f>AN69*0.000277778</f>
        <v>36.25673815755863</v>
      </c>
      <c r="AO68" s="9"/>
      <c r="AP68" s="9"/>
      <c r="AQ68" s="9"/>
      <c r="AR68" s="9"/>
      <c r="AS68" s="9"/>
      <c r="AT68" s="9"/>
      <c r="AU68" s="9"/>
      <c r="AV68" s="9"/>
      <c r="AW68" s="9"/>
      <c r="AX68" s="2"/>
      <c r="AY68" s="9"/>
      <c r="AZ68" s="9"/>
      <c r="BA68" s="9"/>
      <c r="BB68" s="9"/>
      <c r="BC68" s="9"/>
      <c r="BD68" s="9"/>
      <c r="BE68" s="9"/>
      <c r="BF68" s="2">
        <f>BF69*0.000277778</f>
        <v>46.83096997546027</v>
      </c>
      <c r="BG68" s="9"/>
      <c r="BH68" s="9"/>
      <c r="BI68" s="9"/>
      <c r="BJ68" s="9"/>
      <c r="BK68" s="9"/>
      <c r="BL68" s="9"/>
      <c r="BM68" s="9"/>
      <c r="BN68" s="9"/>
      <c r="BO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G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Y68" s="9"/>
    </row>
    <row r="69" spans="1:129" s="4" customFormat="1">
      <c r="A69" s="45" t="s">
        <v>234</v>
      </c>
      <c r="B69" s="46"/>
      <c r="C69" s="89" t="s">
        <v>235</v>
      </c>
      <c r="D69" s="90" t="s">
        <v>361</v>
      </c>
      <c r="E69" s="18">
        <f t="shared" ref="E69:M69" si="140">SUM(E70:E73)</f>
        <v>0</v>
      </c>
      <c r="F69" s="18">
        <f t="shared" si="140"/>
        <v>0</v>
      </c>
      <c r="G69" s="18">
        <f>Q69-H69</f>
        <v>1254201.5122902731</v>
      </c>
      <c r="H69" s="18">
        <f t="shared" si="140"/>
        <v>2215.5287642848389</v>
      </c>
      <c r="I69" s="18">
        <f t="shared" si="140"/>
        <v>0</v>
      </c>
      <c r="J69" s="18">
        <f t="shared" si="140"/>
        <v>2214.5190576036066</v>
      </c>
      <c r="K69" s="18">
        <f t="shared" si="140"/>
        <v>0</v>
      </c>
      <c r="L69" s="18">
        <f t="shared" si="140"/>
        <v>2705.8445964000002</v>
      </c>
      <c r="M69" s="18">
        <f t="shared" si="140"/>
        <v>0</v>
      </c>
      <c r="N69" s="18">
        <f>SUM(N70:N73)</f>
        <v>1252498.0102139807</v>
      </c>
      <c r="O69" s="18">
        <f>SUM(O70:O73)</f>
        <v>1252498.0102139807</v>
      </c>
      <c r="P69" s="18">
        <f>SUM(P70:P73)</f>
        <v>8839.3944945810345</v>
      </c>
      <c r="Q69" s="18">
        <v>1256417.041054558</v>
      </c>
      <c r="R69" s="2" t="s">
        <v>385</v>
      </c>
      <c r="S69" s="18">
        <f t="shared" ref="S69:AE69" si="141">SUM(S70:S73)</f>
        <v>0</v>
      </c>
      <c r="T69" s="18">
        <f t="shared" si="141"/>
        <v>0</v>
      </c>
      <c r="U69" s="18">
        <f t="shared" si="141"/>
        <v>822598.7897955837</v>
      </c>
      <c r="V69" s="18">
        <f t="shared" si="141"/>
        <v>1483.2398121812039</v>
      </c>
      <c r="W69" s="18">
        <f t="shared" si="141"/>
        <v>0</v>
      </c>
      <c r="X69" s="18">
        <f t="shared" si="141"/>
        <v>44173.151010453112</v>
      </c>
      <c r="Y69" s="18">
        <f t="shared" si="141"/>
        <v>856.54168673566596</v>
      </c>
      <c r="Z69" s="18">
        <f t="shared" si="141"/>
        <v>32263.404317928384</v>
      </c>
      <c r="AA69" s="18">
        <f t="shared" si="141"/>
        <v>0</v>
      </c>
      <c r="AB69" s="18">
        <f t="shared" si="141"/>
        <v>6526.4429506813594</v>
      </c>
      <c r="AC69" s="18">
        <f t="shared" si="141"/>
        <v>855471.65780479123</v>
      </c>
      <c r="AD69" s="18">
        <f t="shared" si="141"/>
        <v>855471.65780479123</v>
      </c>
      <c r="AE69" s="18">
        <f t="shared" si="141"/>
        <v>5306.6398645998661</v>
      </c>
      <c r="AF69" s="2" t="s">
        <v>385</v>
      </c>
      <c r="AG69" s="18">
        <f t="shared" ref="AG69:AO69" si="142">SUM(AG70:AG73)</f>
        <v>0</v>
      </c>
      <c r="AH69" s="18">
        <f t="shared" si="142"/>
        <v>0</v>
      </c>
      <c r="AI69" s="18">
        <f t="shared" si="142"/>
        <v>308094.19585369888</v>
      </c>
      <c r="AJ69" s="18">
        <f t="shared" si="142"/>
        <v>574.4543167853418</v>
      </c>
      <c r="AK69" s="18">
        <f t="shared" si="142"/>
        <v>0</v>
      </c>
      <c r="AL69" s="18">
        <f t="shared" si="142"/>
        <v>31877.625759457955</v>
      </c>
      <c r="AM69" s="18">
        <f t="shared" si="142"/>
        <v>2871.7957281027857</v>
      </c>
      <c r="AN69" s="18">
        <f t="shared" si="142"/>
        <v>130524.15294788871</v>
      </c>
      <c r="AO69" s="18">
        <f t="shared" si="142"/>
        <v>0</v>
      </c>
      <c r="AP69" s="18">
        <f>SUM(AP70:AP75)</f>
        <v>87025.031483487735</v>
      </c>
      <c r="AQ69" s="18">
        <f>SUM(AQ70:AQ75)</f>
        <v>3801.088191586522</v>
      </c>
      <c r="AR69" s="18">
        <f t="shared" ref="AR69:AW69" si="143">SUM(AR70:AR73)</f>
        <v>564768.34428100789</v>
      </c>
      <c r="AS69" s="18">
        <f t="shared" si="143"/>
        <v>564768.34428100789</v>
      </c>
      <c r="AT69" s="18">
        <f t="shared" si="143"/>
        <v>0</v>
      </c>
      <c r="AU69" s="18">
        <f t="shared" si="143"/>
        <v>0</v>
      </c>
      <c r="AV69" s="18">
        <f t="shared" si="143"/>
        <v>0</v>
      </c>
      <c r="AW69" s="18">
        <f t="shared" si="143"/>
        <v>0</v>
      </c>
      <c r="AX69" s="2" t="s">
        <v>385</v>
      </c>
      <c r="AY69" s="18">
        <f t="shared" ref="AY69:BG69" si="144">SUM(AY70:AY73)</f>
        <v>0</v>
      </c>
      <c r="AZ69" s="18">
        <f t="shared" si="144"/>
        <v>0</v>
      </c>
      <c r="BA69" s="18">
        <f t="shared" si="144"/>
        <v>17696.469601160825</v>
      </c>
      <c r="BB69" s="18">
        <f t="shared" si="144"/>
        <v>34.134132720679943</v>
      </c>
      <c r="BC69" s="18">
        <f t="shared" si="144"/>
        <v>0</v>
      </c>
      <c r="BD69" s="18">
        <f t="shared" si="144"/>
        <v>34.118576406349149</v>
      </c>
      <c r="BE69" s="18">
        <f t="shared" si="144"/>
        <v>4919.3557719889868</v>
      </c>
      <c r="BF69" s="18">
        <f t="shared" si="144"/>
        <v>168591.35703857132</v>
      </c>
      <c r="BG69" s="18">
        <f t="shared" si="144"/>
        <v>0</v>
      </c>
      <c r="BH69" s="18">
        <f>SUM(BH70:BH75)</f>
        <v>159991.56056068439</v>
      </c>
      <c r="BI69" s="18">
        <f>SUM(BI70:BI75)</f>
        <v>6497.3390489065523</v>
      </c>
      <c r="BJ69" s="18">
        <f t="shared" ref="BJ69:BO69" si="145">SUM(BJ70:BJ73)</f>
        <v>357764.33473043906</v>
      </c>
      <c r="BK69" s="18">
        <f t="shared" si="145"/>
        <v>357764.33473043906</v>
      </c>
      <c r="BL69" s="18">
        <f t="shared" si="145"/>
        <v>0</v>
      </c>
      <c r="BM69" s="18">
        <f t="shared" si="145"/>
        <v>0</v>
      </c>
      <c r="BN69" s="18">
        <f t="shared" si="145"/>
        <v>0</v>
      </c>
      <c r="BO69" s="18">
        <f t="shared" si="145"/>
        <v>0</v>
      </c>
      <c r="BP69" s="4" t="s">
        <v>385</v>
      </c>
      <c r="BQ69" s="53">
        <f t="shared" ref="BQ69:CB69" si="146">SUM(BQ70:BQ73)</f>
        <v>0</v>
      </c>
      <c r="BR69" s="53">
        <f t="shared" si="146"/>
        <v>0</v>
      </c>
      <c r="BS69" s="53">
        <f t="shared" si="146"/>
        <v>85.74128706413876</v>
      </c>
      <c r="BT69" s="53">
        <f t="shared" si="146"/>
        <v>0.13257490324178303</v>
      </c>
      <c r="BU69" s="53">
        <f t="shared" si="146"/>
        <v>0</v>
      </c>
      <c r="BV69" s="53">
        <f t="shared" si="146"/>
        <v>0.11350547113244246</v>
      </c>
      <c r="BW69" s="53">
        <f t="shared" si="146"/>
        <v>0</v>
      </c>
      <c r="BX69" s="53">
        <f t="shared" si="146"/>
        <v>0.37059466171395689</v>
      </c>
      <c r="BY69" s="53">
        <f t="shared" si="146"/>
        <v>0</v>
      </c>
      <c r="BZ69" s="53">
        <f t="shared" si="146"/>
        <v>86.357962100226956</v>
      </c>
      <c r="CA69" s="53">
        <f t="shared" si="146"/>
        <v>85.98736743851299</v>
      </c>
      <c r="CB69" s="53">
        <f t="shared" si="146"/>
        <v>0.64454697406663097</v>
      </c>
      <c r="CC69" s="4" t="s">
        <v>385</v>
      </c>
      <c r="CD69" s="53">
        <f t="shared" ref="CD69:CP69" si="147">SUM(CD70:CD73)</f>
        <v>0</v>
      </c>
      <c r="CE69" s="53">
        <f t="shared" si="147"/>
        <v>0</v>
      </c>
      <c r="CF69" s="53">
        <f t="shared" si="147"/>
        <v>56.590201891352216</v>
      </c>
      <c r="CG69" s="53">
        <f t="shared" si="147"/>
        <v>8.8755505121035083E-2</v>
      </c>
      <c r="CH69" s="53">
        <f t="shared" si="147"/>
        <v>0</v>
      </c>
      <c r="CI69" s="53">
        <f t="shared" si="147"/>
        <v>2.2734545573631442</v>
      </c>
      <c r="CJ69" s="53">
        <f t="shared" si="147"/>
        <v>0</v>
      </c>
      <c r="CK69" s="53">
        <f t="shared" si="147"/>
        <v>1.2870972208395857</v>
      </c>
      <c r="CL69" s="53">
        <f t="shared" si="147"/>
        <v>0</v>
      </c>
      <c r="CM69" s="53">
        <f t="shared" si="147"/>
        <v>0</v>
      </c>
      <c r="CN69" s="53">
        <f t="shared" si="147"/>
        <v>60.23950917467598</v>
      </c>
      <c r="CO69" s="53">
        <f t="shared" si="147"/>
        <v>58.952411953836396</v>
      </c>
      <c r="CP69" s="53">
        <f t="shared" si="147"/>
        <v>0.3869471680765072</v>
      </c>
      <c r="CQ69" s="4" t="s">
        <v>385</v>
      </c>
      <c r="CR69" s="53">
        <f t="shared" ref="CR69:CW69" si="148">SUM(CR70:CR73)</f>
        <v>0</v>
      </c>
      <c r="CS69" s="53">
        <f t="shared" si="148"/>
        <v>0</v>
      </c>
      <c r="CT69" s="53">
        <f t="shared" si="148"/>
        <v>21.175862586036292</v>
      </c>
      <c r="CU69" s="53">
        <f t="shared" si="148"/>
        <v>3.4374740103735348E-2</v>
      </c>
      <c r="CV69" s="53">
        <f t="shared" si="148"/>
        <v>0</v>
      </c>
      <c r="CW69" s="53">
        <f t="shared" si="148"/>
        <v>1.6407507640988097</v>
      </c>
      <c r="CX69" s="53"/>
      <c r="CY69" s="53">
        <f t="shared" ref="CY69" si="149">SUM(CY70:CY73)</f>
        <v>0.48715315870912068</v>
      </c>
      <c r="CZ69" s="53">
        <f>SUM(CZ70:CZ73)</f>
        <v>0</v>
      </c>
      <c r="DA69" s="53"/>
      <c r="DB69" s="53">
        <f>SUM(DB70:DB73)</f>
        <v>23.338141248947959</v>
      </c>
      <c r="DC69" s="53">
        <f>SUM(DC70:DC73)</f>
        <v>22.85098809023884</v>
      </c>
      <c r="DE69" s="53">
        <f>SUM(DE70:DE73)</f>
        <v>22.85098809023884</v>
      </c>
      <c r="DF69" s="53">
        <f>SUM(DF70:DF73)</f>
        <v>0</v>
      </c>
      <c r="DG69" s="53">
        <f t="shared" ref="DG69" si="150">SUM(DG70:DG73)</f>
        <v>0</v>
      </c>
      <c r="DH69" s="9"/>
      <c r="DI69" s="4" t="s">
        <v>385</v>
      </c>
      <c r="DJ69" s="53">
        <f t="shared" ref="DJ69:DO69" si="151">SUM(DJ70:DJ73)</f>
        <v>0</v>
      </c>
      <c r="DK69" s="53">
        <f t="shared" si="151"/>
        <v>0</v>
      </c>
      <c r="DL69" s="53">
        <f t="shared" si="151"/>
        <v>1.2121609092183816</v>
      </c>
      <c r="DM69" s="53">
        <f t="shared" si="151"/>
        <v>2.0425504807865028E-3</v>
      </c>
      <c r="DN69" s="53">
        <f t="shared" si="151"/>
        <v>0</v>
      </c>
      <c r="DO69" s="53">
        <f t="shared" si="151"/>
        <v>1.7487522069742736E-3</v>
      </c>
      <c r="DP69" s="53"/>
      <c r="DQ69" s="53">
        <f t="shared" ref="DQ69" si="152">SUM(DQ70:DQ73)</f>
        <v>0</v>
      </c>
      <c r="DR69" s="53">
        <f>SUM(DR70:DR73)</f>
        <v>0</v>
      </c>
      <c r="DS69" s="53"/>
      <c r="DT69" s="53">
        <f>SUM(DT70:DT73)</f>
        <v>1.2159522119061426</v>
      </c>
      <c r="DU69" s="53">
        <f>SUM(DU70:DU73)</f>
        <v>1.2159522119061426</v>
      </c>
      <c r="DW69" s="53">
        <f>SUM(DW70:DW73)</f>
        <v>1.2159522119061426</v>
      </c>
      <c r="DX69" s="53">
        <f>SUM(DX70:DX73)</f>
        <v>0</v>
      </c>
      <c r="DY69" s="53">
        <f t="shared" ref="DY69" si="153">SUM(DY70:DY73)</f>
        <v>0</v>
      </c>
    </row>
    <row r="70" spans="1:129" s="4" customFormat="1">
      <c r="A70" s="45" t="s">
        <v>236</v>
      </c>
      <c r="B70" s="46"/>
      <c r="C70" s="47" t="s">
        <v>237</v>
      </c>
      <c r="D70" s="90" t="s">
        <v>362</v>
      </c>
      <c r="E70" s="42">
        <v>0</v>
      </c>
      <c r="F70" s="42">
        <v>0</v>
      </c>
      <c r="G70" s="42">
        <v>1128792.2255957518</v>
      </c>
      <c r="H70" s="42">
        <v>2215.5287642848389</v>
      </c>
      <c r="I70" s="42">
        <v>0</v>
      </c>
      <c r="J70" s="42">
        <v>2214.5190576036066</v>
      </c>
      <c r="K70" s="42">
        <v>0</v>
      </c>
      <c r="L70" s="42">
        <v>0</v>
      </c>
      <c r="M70" s="42">
        <v>0</v>
      </c>
      <c r="N70" s="42">
        <v>1133222.2734176402</v>
      </c>
      <c r="O70" s="2">
        <v>1133222.2734176402</v>
      </c>
      <c r="P70" s="2">
        <v>2513.4964587986233</v>
      </c>
      <c r="Q70" s="2">
        <v>1133521.2508188353</v>
      </c>
      <c r="R70" s="2" t="s">
        <v>238</v>
      </c>
      <c r="S70" s="42">
        <v>0</v>
      </c>
      <c r="T70" s="42">
        <v>0</v>
      </c>
      <c r="U70" s="42">
        <v>752897.33441463904</v>
      </c>
      <c r="V70" s="42">
        <v>1483.2398121812039</v>
      </c>
      <c r="W70" s="42">
        <v>0</v>
      </c>
      <c r="X70" s="42">
        <v>1482.563839396571</v>
      </c>
      <c r="Y70" s="42">
        <v>0</v>
      </c>
      <c r="Z70" s="42">
        <v>24399.364126407665</v>
      </c>
      <c r="AA70" s="42">
        <v>0</v>
      </c>
      <c r="AB70" s="42">
        <v>6526.4429506813594</v>
      </c>
      <c r="AC70" s="42">
        <f>SUM(S70:AB70)</f>
        <v>786788.94514330581</v>
      </c>
      <c r="AD70" s="2">
        <f>AC70</f>
        <v>786788.94514330581</v>
      </c>
      <c r="AE70" s="2">
        <f>AC70*P70/N70</f>
        <v>1745.1044458166748</v>
      </c>
      <c r="AF70" s="2" t="s">
        <v>238</v>
      </c>
      <c r="AG70" s="42">
        <v>0</v>
      </c>
      <c r="AH70" s="42">
        <v>0</v>
      </c>
      <c r="AI70" s="42">
        <v>286622.06293788285</v>
      </c>
      <c r="AJ70" s="42">
        <v>574.4543167853418</v>
      </c>
      <c r="AK70" s="42">
        <v>0</v>
      </c>
      <c r="AL70" s="42">
        <v>574.19251455958374</v>
      </c>
      <c r="AM70" s="42">
        <v>0</v>
      </c>
      <c r="AN70" s="42">
        <v>117153.46580338202</v>
      </c>
      <c r="AO70" s="42">
        <v>0</v>
      </c>
      <c r="AP70" s="42">
        <v>40901.739086257934</v>
      </c>
      <c r="AQ70" s="42">
        <v>0</v>
      </c>
      <c r="AR70" s="42">
        <f t="shared" ref="AR70:AR73" si="154">SUM(AG70:AQ70)</f>
        <v>445825.9146588677</v>
      </c>
      <c r="AS70" s="2">
        <f>AR70-AT70</f>
        <v>445825.9146588677</v>
      </c>
      <c r="AT70" s="2"/>
      <c r="AU70" s="2"/>
      <c r="AV70" s="2"/>
      <c r="AW70" s="2"/>
      <c r="AX70" s="2" t="s">
        <v>238</v>
      </c>
      <c r="AY70" s="42">
        <v>0</v>
      </c>
      <c r="AZ70" s="42">
        <v>0</v>
      </c>
      <c r="BA70" s="42">
        <v>16815.474475885359</v>
      </c>
      <c r="BB70" s="42">
        <v>34.134132720679943</v>
      </c>
      <c r="BC70" s="42">
        <v>0</v>
      </c>
      <c r="BD70" s="42">
        <v>34.118576406349149</v>
      </c>
      <c r="BE70" s="42">
        <v>0</v>
      </c>
      <c r="BF70" s="42">
        <v>150439.53230171575</v>
      </c>
      <c r="BG70" s="42">
        <v>0</v>
      </c>
      <c r="BH70" s="42">
        <v>70270.961495247262</v>
      </c>
      <c r="BI70" s="42">
        <v>0</v>
      </c>
      <c r="BJ70" s="42">
        <f t="shared" ref="BJ70:BJ73" si="155">SUM(AY70:BI70)</f>
        <v>237594.22098197541</v>
      </c>
      <c r="BK70" s="2">
        <f>BJ70-BL70</f>
        <v>237594.22098197541</v>
      </c>
      <c r="BL70" s="2"/>
      <c r="BM70" s="2"/>
      <c r="BN70" s="2"/>
      <c r="BO70" s="2"/>
      <c r="BP70" s="4" t="s">
        <v>238</v>
      </c>
      <c r="BQ70" s="52">
        <v>0</v>
      </c>
      <c r="BR70" s="52">
        <v>0</v>
      </c>
      <c r="BS70" s="52">
        <v>77.338024918558929</v>
      </c>
      <c r="BT70" s="52">
        <v>0.13257490324178303</v>
      </c>
      <c r="BU70" s="52">
        <v>0</v>
      </c>
      <c r="BV70" s="52">
        <v>0.11350547113244246</v>
      </c>
      <c r="BW70" s="52">
        <v>0</v>
      </c>
      <c r="BX70" s="52">
        <v>0</v>
      </c>
      <c r="BY70" s="52">
        <v>0</v>
      </c>
      <c r="BZ70" s="52">
        <f>SUM(BQ70:BY70)</f>
        <v>77.58410529293316</v>
      </c>
      <c r="CA70" s="52">
        <f>BZ70-BX70</f>
        <v>77.58410529293316</v>
      </c>
      <c r="CB70" s="52">
        <v>0.18327799917053389</v>
      </c>
      <c r="CC70" s="4" t="s">
        <v>238</v>
      </c>
      <c r="CD70" s="52">
        <v>0</v>
      </c>
      <c r="CE70" s="52">
        <v>0</v>
      </c>
      <c r="CF70" s="52">
        <v>51.583977537889844</v>
      </c>
      <c r="CG70" s="52">
        <v>8.8755505121035083E-2</v>
      </c>
      <c r="CH70" s="52">
        <v>0</v>
      </c>
      <c r="CI70" s="52">
        <v>7.5989008311687367E-2</v>
      </c>
      <c r="CJ70" s="52"/>
      <c r="CK70" s="52">
        <v>0.97337384015304829</v>
      </c>
      <c r="CL70" s="52">
        <v>0</v>
      </c>
      <c r="CM70" s="52"/>
      <c r="CN70" s="52">
        <f>SUM(CD70:CM70)</f>
        <v>52.722095891475618</v>
      </c>
      <c r="CO70" s="52">
        <f>SUM(CD70:CJ70,CL70)</f>
        <v>51.748722051322567</v>
      </c>
      <c r="CP70" s="52">
        <v>0.12724873753184326</v>
      </c>
      <c r="CQ70" s="4" t="s">
        <v>238</v>
      </c>
      <c r="CR70" s="52">
        <v>0</v>
      </c>
      <c r="CS70" s="52">
        <v>0</v>
      </c>
      <c r="CT70" s="52">
        <v>19.63761243483016</v>
      </c>
      <c r="CU70" s="52">
        <v>3.4374740103735348E-2</v>
      </c>
      <c r="CV70" s="52">
        <v>0</v>
      </c>
      <c r="CW70" s="52">
        <v>2.9430314298732649E-2</v>
      </c>
      <c r="CX70" s="52"/>
      <c r="CY70" s="52">
        <v>0.43724996202522126</v>
      </c>
      <c r="CZ70" s="52">
        <v>0</v>
      </c>
      <c r="DA70" s="52"/>
      <c r="DB70" s="52">
        <f>SUM(CR70:DA70)</f>
        <v>20.138667451257849</v>
      </c>
      <c r="DC70" s="52">
        <f>DB70-CY70</f>
        <v>19.701417489232629</v>
      </c>
      <c r="DE70" s="54">
        <f t="shared" ref="DE70:DE73" si="156">DC70*(1-DD70)</f>
        <v>19.701417489232629</v>
      </c>
      <c r="DF70" s="54">
        <f t="shared" ref="DF70:DF73" si="157">DC70*DD70</f>
        <v>0</v>
      </c>
      <c r="DG70" s="52">
        <v>0</v>
      </c>
      <c r="DI70" s="4" t="s">
        <v>238</v>
      </c>
      <c r="DJ70" s="52">
        <v>0</v>
      </c>
      <c r="DK70" s="52">
        <v>0</v>
      </c>
      <c r="DL70" s="52">
        <v>1.1520947385574445</v>
      </c>
      <c r="DM70" s="52">
        <v>2.0425504807865028E-3</v>
      </c>
      <c r="DN70" s="52">
        <v>0</v>
      </c>
      <c r="DO70" s="52">
        <v>1.7487522069742736E-3</v>
      </c>
      <c r="DP70" s="52"/>
      <c r="DQ70" s="52">
        <v>0</v>
      </c>
      <c r="DR70" s="52">
        <v>0</v>
      </c>
      <c r="DS70" s="52"/>
      <c r="DT70" s="52">
        <f>SUM(DJ70:DS70)</f>
        <v>1.1558860412452054</v>
      </c>
      <c r="DU70" s="52">
        <f>DT70-DQ70</f>
        <v>1.1558860412452054</v>
      </c>
      <c r="DW70" s="54">
        <f t="shared" ref="DW70:DW73" si="158">DU70*(1-DV70)</f>
        <v>1.1558860412452054</v>
      </c>
      <c r="DX70" s="54">
        <f t="shared" ref="DX70:DX73" si="159">DU70*DV70</f>
        <v>0</v>
      </c>
      <c r="DY70" s="52">
        <v>0</v>
      </c>
    </row>
    <row r="71" spans="1:129" s="4" customFormat="1">
      <c r="A71" s="45" t="s">
        <v>239</v>
      </c>
      <c r="B71" s="46" t="s">
        <v>223</v>
      </c>
      <c r="C71" s="47" t="s">
        <v>240</v>
      </c>
      <c r="D71" s="90" t="s">
        <v>358</v>
      </c>
      <c r="E71" s="42">
        <v>0</v>
      </c>
      <c r="F71" s="42">
        <v>0</v>
      </c>
      <c r="G71" s="42">
        <v>1100.9632806047346</v>
      </c>
      <c r="H71" s="42">
        <v>0</v>
      </c>
      <c r="I71" s="42">
        <v>0</v>
      </c>
      <c r="J71" s="42">
        <v>0</v>
      </c>
      <c r="K71" s="42">
        <v>0</v>
      </c>
      <c r="L71" s="42">
        <v>2705.8445964000002</v>
      </c>
      <c r="M71" s="42">
        <v>0</v>
      </c>
      <c r="N71" s="42">
        <v>3806.807877004735</v>
      </c>
      <c r="O71" s="2">
        <v>3806.807877004735</v>
      </c>
      <c r="P71" s="2">
        <v>19.546674253199054</v>
      </c>
      <c r="Q71" s="2">
        <v>1120.5099548579335</v>
      </c>
      <c r="R71" s="2" t="s">
        <v>225</v>
      </c>
      <c r="S71" s="42">
        <v>0</v>
      </c>
      <c r="T71" s="42">
        <v>0</v>
      </c>
      <c r="U71" s="42">
        <v>920.47105588198917</v>
      </c>
      <c r="V71" s="42">
        <v>0</v>
      </c>
      <c r="W71" s="42">
        <v>0</v>
      </c>
      <c r="X71" s="42">
        <v>0</v>
      </c>
      <c r="Y71" s="42">
        <v>0</v>
      </c>
      <c r="Z71" s="42">
        <v>2222.7840296311033</v>
      </c>
      <c r="AA71" s="42">
        <v>0</v>
      </c>
      <c r="AB71" s="42"/>
      <c r="AC71" s="42">
        <f>SUM(S71:AB71)</f>
        <v>3143.2550855130926</v>
      </c>
      <c r="AD71" s="2">
        <f>AC71</f>
        <v>3143.2550855130926</v>
      </c>
      <c r="AE71" s="2">
        <f>AC71*P71/N71</f>
        <v>16.139554512947473</v>
      </c>
      <c r="AF71" s="2" t="s">
        <v>225</v>
      </c>
      <c r="AG71" s="42">
        <v>0</v>
      </c>
      <c r="AH71" s="42">
        <v>0</v>
      </c>
      <c r="AI71" s="42">
        <v>0</v>
      </c>
      <c r="AJ71" s="42">
        <v>0</v>
      </c>
      <c r="AK71" s="42">
        <v>0</v>
      </c>
      <c r="AL71" s="42">
        <v>0</v>
      </c>
      <c r="AM71" s="42">
        <v>0</v>
      </c>
      <c r="AN71" s="42">
        <v>2230.2904336341871</v>
      </c>
      <c r="AO71" s="42">
        <v>0</v>
      </c>
      <c r="AP71" s="42">
        <v>0</v>
      </c>
      <c r="AQ71" s="42">
        <v>0</v>
      </c>
      <c r="AR71" s="42">
        <f t="shared" si="154"/>
        <v>2230.2904336341871</v>
      </c>
      <c r="AS71" s="2">
        <f>AR71-AT71</f>
        <v>2230.2904336341871</v>
      </c>
      <c r="AT71" s="2"/>
      <c r="AU71" s="2"/>
      <c r="AV71" s="2"/>
      <c r="AW71" s="2"/>
      <c r="AX71" s="2" t="s">
        <v>225</v>
      </c>
      <c r="AY71" s="42">
        <v>0</v>
      </c>
      <c r="AZ71" s="42">
        <v>0</v>
      </c>
      <c r="BA71" s="42">
        <v>0</v>
      </c>
      <c r="BB71" s="42">
        <v>0</v>
      </c>
      <c r="BC71" s="42">
        <v>0</v>
      </c>
      <c r="BD71" s="42">
        <v>0</v>
      </c>
      <c r="BE71" s="42">
        <v>0</v>
      </c>
      <c r="BF71" s="42">
        <v>1841.6419385580969</v>
      </c>
      <c r="BG71" s="42">
        <v>0</v>
      </c>
      <c r="BH71" s="42">
        <v>0</v>
      </c>
      <c r="BI71" s="42">
        <v>0</v>
      </c>
      <c r="BJ71" s="42">
        <f t="shared" si="155"/>
        <v>1841.6419385580969</v>
      </c>
      <c r="BK71" s="2">
        <f>BJ71-BL71</f>
        <v>1841.6419385580969</v>
      </c>
      <c r="BL71" s="2"/>
      <c r="BM71" s="2"/>
      <c r="BN71" s="2"/>
      <c r="BO71" s="2"/>
      <c r="BP71" s="4" t="s">
        <v>225</v>
      </c>
      <c r="BQ71" s="52">
        <v>0</v>
      </c>
      <c r="BR71" s="52">
        <v>0</v>
      </c>
      <c r="BS71" s="52">
        <v>7.5932967700132498E-2</v>
      </c>
      <c r="BT71" s="52">
        <v>0</v>
      </c>
      <c r="BU71" s="52">
        <v>0</v>
      </c>
      <c r="BV71" s="52">
        <v>0</v>
      </c>
      <c r="BW71" s="52">
        <v>0</v>
      </c>
      <c r="BX71" s="52">
        <v>0.37059466171395689</v>
      </c>
      <c r="BY71" s="52">
        <v>0</v>
      </c>
      <c r="BZ71" s="52">
        <f>SUM(BQ71:BY71)</f>
        <v>0.44652762941408941</v>
      </c>
      <c r="CA71" s="52">
        <f>BZ71-BX71</f>
        <v>7.5932967700132525E-2</v>
      </c>
      <c r="CB71" s="52">
        <v>1.4252955618950149E-3</v>
      </c>
      <c r="CC71" s="4" t="s">
        <v>225</v>
      </c>
      <c r="CD71" s="52">
        <v>0</v>
      </c>
      <c r="CE71" s="52">
        <v>0</v>
      </c>
      <c r="CF71" s="52">
        <v>6.3484495974109753E-2</v>
      </c>
      <c r="CG71" s="52">
        <v>0</v>
      </c>
      <c r="CH71" s="52">
        <v>0</v>
      </c>
      <c r="CI71" s="52">
        <v>0</v>
      </c>
      <c r="CJ71" s="52"/>
      <c r="CK71" s="52">
        <v>8.8674434937884683E-2</v>
      </c>
      <c r="CL71" s="52">
        <v>0</v>
      </c>
      <c r="CM71" s="52"/>
      <c r="CN71" s="52">
        <f>SUM(CD71:CM71)</f>
        <v>0.15215893091199445</v>
      </c>
      <c r="CO71" s="52">
        <f>SUM(CD71:CJ71,CL71)</f>
        <v>6.3484495974109753E-2</v>
      </c>
      <c r="CP71" s="52">
        <v>1.176856744031628E-3</v>
      </c>
      <c r="CQ71" s="4" t="s">
        <v>225</v>
      </c>
      <c r="CR71" s="52">
        <v>0</v>
      </c>
      <c r="CS71" s="52">
        <v>0</v>
      </c>
      <c r="CT71" s="52">
        <v>0</v>
      </c>
      <c r="CU71" s="52">
        <v>0</v>
      </c>
      <c r="CV71" s="52">
        <v>0</v>
      </c>
      <c r="CW71" s="52">
        <v>0</v>
      </c>
      <c r="CX71" s="52"/>
      <c r="CY71" s="52">
        <v>8.3240764643568096E-3</v>
      </c>
      <c r="CZ71" s="52">
        <v>0</v>
      </c>
      <c r="DA71" s="52"/>
      <c r="DB71" s="52">
        <f>SUM(CR71:DA71)</f>
        <v>8.3240764643568096E-3</v>
      </c>
      <c r="DC71" s="52">
        <f>DB71-CY71</f>
        <v>0</v>
      </c>
      <c r="DE71" s="54">
        <f t="shared" si="156"/>
        <v>0</v>
      </c>
      <c r="DF71" s="54">
        <f t="shared" si="157"/>
        <v>0</v>
      </c>
      <c r="DG71" s="52">
        <v>0</v>
      </c>
      <c r="DI71" s="4" t="s">
        <v>225</v>
      </c>
      <c r="DJ71" s="52">
        <v>0</v>
      </c>
      <c r="DK71" s="52">
        <v>0</v>
      </c>
      <c r="DL71" s="52">
        <v>0</v>
      </c>
      <c r="DM71" s="52">
        <v>0</v>
      </c>
      <c r="DN71" s="52">
        <v>0</v>
      </c>
      <c r="DO71" s="52">
        <v>0</v>
      </c>
      <c r="DP71" s="52"/>
      <c r="DQ71" s="52">
        <v>0</v>
      </c>
      <c r="DR71" s="52">
        <v>0</v>
      </c>
      <c r="DS71" s="52"/>
      <c r="DT71" s="52">
        <f>SUM(DJ71:DS71)</f>
        <v>0</v>
      </c>
      <c r="DU71" s="52">
        <f>DT71-DQ71</f>
        <v>0</v>
      </c>
      <c r="DW71" s="54">
        <f t="shared" si="158"/>
        <v>0</v>
      </c>
      <c r="DX71" s="54">
        <f t="shared" si="159"/>
        <v>0</v>
      </c>
      <c r="DY71" s="52">
        <v>0</v>
      </c>
    </row>
    <row r="72" spans="1:129" s="4" customFormat="1">
      <c r="A72" s="45" t="s">
        <v>241</v>
      </c>
      <c r="B72" s="46" t="s">
        <v>227</v>
      </c>
      <c r="C72" s="47" t="s">
        <v>242</v>
      </c>
      <c r="D72" s="90" t="s">
        <v>359</v>
      </c>
      <c r="E72" s="42">
        <v>0</v>
      </c>
      <c r="F72" s="42">
        <v>0</v>
      </c>
      <c r="G72" s="42">
        <v>95801.531992833567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95801.531992833567</v>
      </c>
      <c r="O72" s="2">
        <v>95801.531992833567</v>
      </c>
      <c r="P72" s="2">
        <v>6306.3513615292122</v>
      </c>
      <c r="Q72" s="2">
        <v>102107.88335436278</v>
      </c>
      <c r="R72" s="2" t="s">
        <v>229</v>
      </c>
      <c r="S72" s="42">
        <v>0</v>
      </c>
      <c r="T72" s="42">
        <v>0</v>
      </c>
      <c r="U72" s="42">
        <v>53363.233963820676</v>
      </c>
      <c r="V72" s="42">
        <v>0</v>
      </c>
      <c r="W72" s="42">
        <v>0</v>
      </c>
      <c r="X72" s="42">
        <v>42690.587171056541</v>
      </c>
      <c r="Y72" s="42">
        <v>0</v>
      </c>
      <c r="Z72" s="42">
        <v>5641.2561618896143</v>
      </c>
      <c r="AA72" s="42">
        <v>0</v>
      </c>
      <c r="AB72" s="42">
        <v>0</v>
      </c>
      <c r="AC72" s="42">
        <v>53859.091548585013</v>
      </c>
      <c r="AD72" s="2">
        <f>AC72</f>
        <v>53859.091548585013</v>
      </c>
      <c r="AE72" s="2">
        <f>AC72*P72/N72</f>
        <v>3545.3958642702437</v>
      </c>
      <c r="AF72" s="2" t="s">
        <v>229</v>
      </c>
      <c r="AG72" s="42">
        <v>0</v>
      </c>
      <c r="AH72" s="42">
        <v>0</v>
      </c>
      <c r="AI72" s="42">
        <v>15651.716622449185</v>
      </c>
      <c r="AJ72" s="42">
        <v>0</v>
      </c>
      <c r="AK72" s="42">
        <v>0</v>
      </c>
      <c r="AL72" s="42">
        <v>31303.43324489837</v>
      </c>
      <c r="AM72" s="42">
        <v>1565.1716622449187</v>
      </c>
      <c r="AN72" s="42">
        <v>11030.733619630857</v>
      </c>
      <c r="AO72" s="42">
        <v>0</v>
      </c>
      <c r="AP72" s="42">
        <v>45291.804355320244</v>
      </c>
      <c r="AQ72" s="42">
        <v>0</v>
      </c>
      <c r="AR72" s="42">
        <f t="shared" si="154"/>
        <v>104842.85950454358</v>
      </c>
      <c r="AS72" s="2">
        <f>AR72-AT72</f>
        <v>104842.85950454358</v>
      </c>
      <c r="AT72" s="2"/>
      <c r="AU72" s="2"/>
      <c r="AV72" s="2"/>
      <c r="AW72" s="2"/>
      <c r="AX72" s="2" t="s">
        <v>229</v>
      </c>
      <c r="AY72" s="42">
        <v>0</v>
      </c>
      <c r="AZ72" s="42">
        <v>0</v>
      </c>
      <c r="BA72" s="42">
        <v>0</v>
      </c>
      <c r="BB72" s="42">
        <v>0</v>
      </c>
      <c r="BC72" s="42">
        <v>0</v>
      </c>
      <c r="BD72" s="42">
        <v>0</v>
      </c>
      <c r="BE72" s="42">
        <v>3047.2411307786238</v>
      </c>
      <c r="BF72" s="42">
        <v>16106.845976972727</v>
      </c>
      <c r="BG72" s="42">
        <v>0</v>
      </c>
      <c r="BH72" s="42">
        <v>88178.857596205053</v>
      </c>
      <c r="BI72" s="42">
        <v>0</v>
      </c>
      <c r="BJ72" s="42">
        <f t="shared" si="155"/>
        <v>107332.9447039564</v>
      </c>
      <c r="BK72" s="2">
        <f>BJ72-BL72</f>
        <v>107332.9447039564</v>
      </c>
      <c r="BL72" s="2"/>
      <c r="BM72" s="2"/>
      <c r="BN72" s="2"/>
      <c r="BO72" s="2"/>
      <c r="BP72" s="4" t="s">
        <v>229</v>
      </c>
      <c r="BQ72" s="52">
        <v>0</v>
      </c>
      <c r="BR72" s="52">
        <v>0</v>
      </c>
      <c r="BS72" s="52">
        <v>6.986407773945408</v>
      </c>
      <c r="BT72" s="52">
        <v>0</v>
      </c>
      <c r="BU72" s="52">
        <v>0</v>
      </c>
      <c r="BV72" s="52">
        <v>0</v>
      </c>
      <c r="BW72" s="52">
        <v>0</v>
      </c>
      <c r="BX72" s="52">
        <v>0</v>
      </c>
      <c r="BY72" s="52">
        <v>0</v>
      </c>
      <c r="BZ72" s="52">
        <f>SUM(BQ72:BY72)</f>
        <v>6.986407773945408</v>
      </c>
      <c r="CA72" s="52">
        <f>BZ72-BX72</f>
        <v>6.986407773945408</v>
      </c>
      <c r="CB72" s="52">
        <v>0.45984367933420212</v>
      </c>
      <c r="CC72" s="4" t="s">
        <v>229</v>
      </c>
      <c r="CD72" s="52">
        <v>0</v>
      </c>
      <c r="CE72" s="52">
        <v>0</v>
      </c>
      <c r="CF72" s="52">
        <v>3.8915589850441328</v>
      </c>
      <c r="CG72" s="52">
        <v>0</v>
      </c>
      <c r="CH72" s="52">
        <v>0</v>
      </c>
      <c r="CI72" s="52">
        <v>2.197465549051457</v>
      </c>
      <c r="CJ72" s="52"/>
      <c r="CK72" s="52">
        <v>0.22504894574865264</v>
      </c>
      <c r="CL72" s="52">
        <v>0</v>
      </c>
      <c r="CM72" s="52"/>
      <c r="CN72" s="52">
        <f>SUM(CD72:CM72)</f>
        <v>6.3140734798442422</v>
      </c>
      <c r="CO72" s="52">
        <f>SUM(CD72:CJ72,CL72)</f>
        <v>6.0890245340955893</v>
      </c>
      <c r="CP72" s="52">
        <v>0.25852157380063234</v>
      </c>
      <c r="CQ72" s="4" t="s">
        <v>229</v>
      </c>
      <c r="CR72" s="52">
        <v>0</v>
      </c>
      <c r="CS72" s="52">
        <v>0</v>
      </c>
      <c r="CT72" s="52">
        <v>1.1414146769056828</v>
      </c>
      <c r="CU72" s="52">
        <v>0</v>
      </c>
      <c r="CV72" s="52">
        <v>0</v>
      </c>
      <c r="CW72" s="52">
        <v>1.611320449800077</v>
      </c>
      <c r="CX72" s="52"/>
      <c r="CY72" s="52">
        <v>4.1169826459839021E-2</v>
      </c>
      <c r="CZ72" s="52">
        <v>0</v>
      </c>
      <c r="DA72" s="52"/>
      <c r="DB72" s="52">
        <f>SUM(CR72:DA72)</f>
        <v>2.7939049531655993</v>
      </c>
      <c r="DC72" s="52">
        <f>DB72-CY72</f>
        <v>2.75273512670576</v>
      </c>
      <c r="DE72" s="54">
        <f t="shared" si="156"/>
        <v>2.75273512670576</v>
      </c>
      <c r="DF72" s="54">
        <f t="shared" si="157"/>
        <v>0</v>
      </c>
      <c r="DG72" s="52">
        <v>0</v>
      </c>
      <c r="DI72" s="4" t="s">
        <v>229</v>
      </c>
      <c r="DJ72" s="52">
        <v>0</v>
      </c>
      <c r="DK72" s="52">
        <v>0</v>
      </c>
      <c r="DL72" s="52">
        <v>0</v>
      </c>
      <c r="DM72" s="52">
        <v>0</v>
      </c>
      <c r="DN72" s="52">
        <v>0</v>
      </c>
      <c r="DO72" s="52">
        <v>0</v>
      </c>
      <c r="DP72" s="52"/>
      <c r="DQ72" s="52">
        <v>0</v>
      </c>
      <c r="DR72" s="52">
        <v>0</v>
      </c>
      <c r="DS72" s="52"/>
      <c r="DT72" s="52">
        <f>SUM(DJ72:DS72)</f>
        <v>0</v>
      </c>
      <c r="DU72" s="52">
        <f>DT72-DQ72</f>
        <v>0</v>
      </c>
      <c r="DW72" s="54">
        <f t="shared" si="158"/>
        <v>0</v>
      </c>
      <c r="DX72" s="54">
        <f t="shared" si="159"/>
        <v>0</v>
      </c>
      <c r="DY72" s="52">
        <v>0</v>
      </c>
    </row>
    <row r="73" spans="1:129" s="4" customFormat="1">
      <c r="A73" s="45" t="s">
        <v>243</v>
      </c>
      <c r="B73" s="46" t="s">
        <v>231</v>
      </c>
      <c r="C73" s="47" t="s">
        <v>244</v>
      </c>
      <c r="D73" s="90" t="s">
        <v>360</v>
      </c>
      <c r="E73" s="42">
        <v>0</v>
      </c>
      <c r="F73" s="42">
        <v>0</v>
      </c>
      <c r="G73" s="42">
        <v>19667.39692650201</v>
      </c>
      <c r="H73" s="42">
        <v>0</v>
      </c>
      <c r="I73" s="42">
        <v>0</v>
      </c>
      <c r="J73" s="42">
        <v>0</v>
      </c>
      <c r="K73" s="42">
        <v>0</v>
      </c>
      <c r="L73" s="42">
        <v>0</v>
      </c>
      <c r="M73" s="42">
        <v>0</v>
      </c>
      <c r="N73" s="42">
        <v>19667.39692650201</v>
      </c>
      <c r="O73" s="2">
        <v>19667.39692650201</v>
      </c>
      <c r="P73" s="2">
        <v>0</v>
      </c>
      <c r="Q73" s="2">
        <v>19667.39692650201</v>
      </c>
      <c r="R73" s="9" t="s">
        <v>233</v>
      </c>
      <c r="S73" s="42">
        <v>0</v>
      </c>
      <c r="T73" s="42">
        <v>0</v>
      </c>
      <c r="U73" s="42">
        <v>15417.750361241986</v>
      </c>
      <c r="V73" s="42">
        <v>0</v>
      </c>
      <c r="W73" s="42">
        <v>0</v>
      </c>
      <c r="X73" s="42">
        <v>0</v>
      </c>
      <c r="Y73" s="42">
        <v>856.54168673566596</v>
      </c>
      <c r="Z73" s="42">
        <v>0</v>
      </c>
      <c r="AA73" s="42">
        <v>0</v>
      </c>
      <c r="AB73" s="42">
        <v>0</v>
      </c>
      <c r="AC73" s="42">
        <v>11680.366027387341</v>
      </c>
      <c r="AD73" s="2">
        <f>AC73</f>
        <v>11680.366027387341</v>
      </c>
      <c r="AE73" s="2">
        <f>AC73*P73/N73</f>
        <v>0</v>
      </c>
      <c r="AF73" s="9" t="s">
        <v>233</v>
      </c>
      <c r="AG73" s="42">
        <v>0</v>
      </c>
      <c r="AH73" s="42">
        <v>0</v>
      </c>
      <c r="AI73" s="42">
        <v>5820.4162933668613</v>
      </c>
      <c r="AJ73" s="42">
        <v>0</v>
      </c>
      <c r="AK73" s="42">
        <v>0</v>
      </c>
      <c r="AL73" s="42">
        <v>0</v>
      </c>
      <c r="AM73" s="42">
        <v>1306.624065857867</v>
      </c>
      <c r="AN73" s="42">
        <v>109.66309124164242</v>
      </c>
      <c r="AO73" s="42">
        <v>0</v>
      </c>
      <c r="AP73" s="42">
        <v>831.48804190955195</v>
      </c>
      <c r="AQ73" s="42">
        <v>3801.088191586522</v>
      </c>
      <c r="AR73" s="42">
        <f t="shared" si="154"/>
        <v>11869.279683962444</v>
      </c>
      <c r="AS73" s="2">
        <f>AR73-AT73</f>
        <v>11869.279683962444</v>
      </c>
      <c r="AT73" s="2"/>
      <c r="AU73" s="2"/>
      <c r="AV73" s="2"/>
      <c r="AW73" s="2"/>
      <c r="AX73" s="9" t="s">
        <v>233</v>
      </c>
      <c r="AY73" s="42">
        <v>0</v>
      </c>
      <c r="AZ73" s="42">
        <v>0</v>
      </c>
      <c r="BA73" s="42">
        <v>880.9951252754646</v>
      </c>
      <c r="BB73" s="42">
        <v>0</v>
      </c>
      <c r="BC73" s="42">
        <v>0</v>
      </c>
      <c r="BD73" s="42">
        <v>0</v>
      </c>
      <c r="BE73" s="42">
        <v>1872.1146412103626</v>
      </c>
      <c r="BF73" s="42">
        <v>203.33682132473899</v>
      </c>
      <c r="BG73" s="42">
        <v>0</v>
      </c>
      <c r="BH73" s="42">
        <v>1541.7414692320635</v>
      </c>
      <c r="BI73" s="42">
        <v>6497.3390489065523</v>
      </c>
      <c r="BJ73" s="42">
        <f t="shared" si="155"/>
        <v>10995.527105949182</v>
      </c>
      <c r="BK73" s="2">
        <f>BJ73-BL73</f>
        <v>10995.527105949182</v>
      </c>
      <c r="BL73" s="2"/>
      <c r="BM73" s="2"/>
      <c r="BN73" s="2"/>
      <c r="BO73" s="2"/>
      <c r="BP73" s="4" t="s">
        <v>233</v>
      </c>
      <c r="BQ73" s="52">
        <v>0</v>
      </c>
      <c r="BR73" s="52">
        <v>0</v>
      </c>
      <c r="BS73" s="52">
        <v>1.3409214039343091</v>
      </c>
      <c r="BT73" s="52">
        <v>0</v>
      </c>
      <c r="BU73" s="52">
        <v>0</v>
      </c>
      <c r="BV73" s="52">
        <v>0</v>
      </c>
      <c r="BW73" s="52">
        <v>0</v>
      </c>
      <c r="BX73" s="52">
        <v>0</v>
      </c>
      <c r="BY73" s="52">
        <v>0</v>
      </c>
      <c r="BZ73" s="52">
        <f>SUM(BQ73:BY73)</f>
        <v>1.3409214039343091</v>
      </c>
      <c r="CA73" s="52">
        <f>BZ73-BX73</f>
        <v>1.3409214039343091</v>
      </c>
      <c r="CB73" s="52">
        <v>0</v>
      </c>
      <c r="CC73" s="4" t="s">
        <v>233</v>
      </c>
      <c r="CD73" s="52">
        <v>0</v>
      </c>
      <c r="CE73" s="52">
        <v>0</v>
      </c>
      <c r="CF73" s="52">
        <v>1.0511808724441261</v>
      </c>
      <c r="CG73" s="52">
        <v>0</v>
      </c>
      <c r="CH73" s="52">
        <v>0</v>
      </c>
      <c r="CI73" s="52">
        <v>0</v>
      </c>
      <c r="CJ73" s="52"/>
      <c r="CK73" s="52">
        <v>0</v>
      </c>
      <c r="CL73" s="52">
        <v>0</v>
      </c>
      <c r="CM73" s="52"/>
      <c r="CN73" s="52">
        <f>SUM(CD73:CM73)</f>
        <v>1.0511808724441261</v>
      </c>
      <c r="CO73" s="52">
        <f>SUM(CD73:CJ73,CL73)</f>
        <v>1.0511808724441261</v>
      </c>
      <c r="CP73" s="52">
        <v>0</v>
      </c>
      <c r="CQ73" s="4" t="s">
        <v>233</v>
      </c>
      <c r="CR73" s="52">
        <v>0</v>
      </c>
      <c r="CS73" s="52">
        <v>0</v>
      </c>
      <c r="CT73" s="52">
        <v>0.39683547430044902</v>
      </c>
      <c r="CU73" s="52">
        <v>0</v>
      </c>
      <c r="CV73" s="52">
        <v>0</v>
      </c>
      <c r="CW73" s="52">
        <v>0</v>
      </c>
      <c r="CX73" s="52"/>
      <c r="CY73" s="52">
        <v>4.0929375970362696E-4</v>
      </c>
      <c r="CZ73" s="52">
        <v>0</v>
      </c>
      <c r="DA73" s="52"/>
      <c r="DB73" s="52">
        <f>SUM(CR73:DA73)</f>
        <v>0.39724476806015263</v>
      </c>
      <c r="DC73" s="52">
        <f>DB73-CY73</f>
        <v>0.39683547430044902</v>
      </c>
      <c r="DE73" s="54">
        <f t="shared" si="156"/>
        <v>0.39683547430044902</v>
      </c>
      <c r="DF73" s="54">
        <f t="shared" si="157"/>
        <v>0</v>
      </c>
      <c r="DG73" s="52">
        <v>0</v>
      </c>
      <c r="DI73" s="4" t="s">
        <v>233</v>
      </c>
      <c r="DJ73" s="52">
        <v>0</v>
      </c>
      <c r="DK73" s="52">
        <v>0</v>
      </c>
      <c r="DL73" s="52">
        <v>6.006617066093705E-2</v>
      </c>
      <c r="DM73" s="52">
        <v>0</v>
      </c>
      <c r="DN73" s="52">
        <v>0</v>
      </c>
      <c r="DO73" s="52">
        <v>0</v>
      </c>
      <c r="DP73" s="52"/>
      <c r="DQ73" s="52">
        <v>0</v>
      </c>
      <c r="DR73" s="52">
        <v>0</v>
      </c>
      <c r="DS73" s="52"/>
      <c r="DT73" s="52">
        <f>SUM(DJ73:DS73)</f>
        <v>6.006617066093705E-2</v>
      </c>
      <c r="DU73" s="52">
        <f>DT73-DQ73</f>
        <v>6.006617066093705E-2</v>
      </c>
      <c r="DW73" s="54">
        <f t="shared" si="158"/>
        <v>6.006617066093705E-2</v>
      </c>
      <c r="DX73" s="54">
        <f t="shared" si="159"/>
        <v>0</v>
      </c>
      <c r="DY73" s="52">
        <v>0</v>
      </c>
    </row>
    <row r="74" spans="1:129" s="4" customFormat="1">
      <c r="A74" s="23"/>
      <c r="B74" s="35"/>
      <c r="C74" s="35"/>
      <c r="D74" s="35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S74" s="9"/>
      <c r="AT74" s="9"/>
      <c r="AU74" s="9"/>
      <c r="AV74" s="9"/>
      <c r="AW74" s="9"/>
      <c r="BK74" s="9"/>
      <c r="BL74" s="9"/>
      <c r="BM74" s="9"/>
      <c r="BN74" s="9"/>
      <c r="BO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U74" s="9"/>
      <c r="DY74" s="9"/>
    </row>
    <row r="75" spans="1:129" s="4" customFormat="1">
      <c r="A75" s="23"/>
      <c r="B75" s="35"/>
      <c r="C75" s="35"/>
      <c r="D75" s="35"/>
      <c r="E75" s="9" t="s">
        <v>203</v>
      </c>
      <c r="F75" s="9" t="s">
        <v>204</v>
      </c>
      <c r="G75" s="9" t="s">
        <v>381</v>
      </c>
      <c r="H75" s="9" t="s">
        <v>11</v>
      </c>
      <c r="I75" s="9" t="s">
        <v>205</v>
      </c>
      <c r="J75" s="9" t="s">
        <v>206</v>
      </c>
      <c r="K75" s="9" t="s">
        <v>207</v>
      </c>
      <c r="L75" s="9" t="s">
        <v>2</v>
      </c>
      <c r="M75" s="9" t="s">
        <v>208</v>
      </c>
      <c r="N75" s="9" t="s">
        <v>209</v>
      </c>
      <c r="O75" s="9" t="s">
        <v>245</v>
      </c>
      <c r="P75" s="9" t="s">
        <v>246</v>
      </c>
      <c r="Q75" s="9" t="s">
        <v>247</v>
      </c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S75" s="9"/>
      <c r="AT75" s="9"/>
      <c r="AU75" s="9"/>
      <c r="AV75" s="9"/>
      <c r="AW75" s="9"/>
      <c r="AX75" s="9"/>
      <c r="BK75" s="9"/>
      <c r="BL75" s="9"/>
      <c r="BM75" s="9"/>
      <c r="BN75" s="9"/>
      <c r="BO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Y75" s="9"/>
    </row>
    <row r="76" spans="1:129" s="4" customFormat="1">
      <c r="A76" s="48" t="s">
        <v>248</v>
      </c>
      <c r="B76" s="91" t="s">
        <v>249</v>
      </c>
      <c r="C76" s="49"/>
      <c r="D76" s="92" t="s">
        <v>363</v>
      </c>
      <c r="E76" s="9">
        <v>16.203273349007159</v>
      </c>
      <c r="F76" s="9">
        <v>18817.780391693941</v>
      </c>
      <c r="G76" s="9">
        <f t="shared" ref="G76:G93" si="160">Q76-H76</f>
        <v>1397884.2027374555</v>
      </c>
      <c r="H76" s="9">
        <v>216804.90562808537</v>
      </c>
      <c r="I76" s="9">
        <v>10755.305111078042</v>
      </c>
      <c r="J76" s="9">
        <v>0</v>
      </c>
      <c r="K76" s="9">
        <v>0</v>
      </c>
      <c r="L76" s="9">
        <v>0</v>
      </c>
      <c r="M76" s="9">
        <v>0</v>
      </c>
      <c r="N76" s="9">
        <v>1644278.397141662</v>
      </c>
      <c r="O76" s="9">
        <v>0</v>
      </c>
      <c r="P76" s="9">
        <v>1644278.397141662</v>
      </c>
      <c r="Q76" s="9">
        <v>1614689.1083655409</v>
      </c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S76" s="9"/>
      <c r="AT76" s="9"/>
      <c r="AU76" s="9"/>
      <c r="AV76" s="9"/>
      <c r="AW76" s="9"/>
      <c r="AX76" s="9"/>
      <c r="BK76" s="9"/>
      <c r="BL76" s="9"/>
      <c r="BM76" s="9"/>
      <c r="BN76" s="9"/>
      <c r="BO76" s="9"/>
      <c r="BQ76" s="52">
        <v>0</v>
      </c>
      <c r="BR76" s="52">
        <v>0</v>
      </c>
      <c r="BS76" s="52">
        <v>0</v>
      </c>
      <c r="BT76" s="52">
        <v>0</v>
      </c>
      <c r="BU76" s="52">
        <v>0</v>
      </c>
      <c r="BV76" s="52">
        <v>0</v>
      </c>
      <c r="BW76" s="52"/>
      <c r="BX76" s="52">
        <v>0</v>
      </c>
      <c r="BY76" s="52">
        <v>0</v>
      </c>
      <c r="BZ76" s="52">
        <f t="shared" ref="BZ76:BZ93" si="161">SUM(BQ76:BY76)</f>
        <v>0</v>
      </c>
      <c r="CA76" s="9"/>
      <c r="CB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Y76" s="9"/>
    </row>
    <row r="77" spans="1:129" s="4" customFormat="1">
      <c r="A77" s="48" t="s">
        <v>250</v>
      </c>
      <c r="B77" s="49"/>
      <c r="C77" s="49" t="s">
        <v>251</v>
      </c>
      <c r="D77" s="92" t="s">
        <v>364</v>
      </c>
      <c r="E77" s="9">
        <v>16.203273349007159</v>
      </c>
      <c r="F77" s="9">
        <v>18817.780391693941</v>
      </c>
      <c r="G77" s="9">
        <f t="shared" si="160"/>
        <v>1360214.6612167743</v>
      </c>
      <c r="H77" s="9">
        <v>216804.90562808537</v>
      </c>
      <c r="I77" s="9">
        <v>10755.305111078042</v>
      </c>
      <c r="J77" s="9">
        <v>0</v>
      </c>
      <c r="K77" s="9">
        <v>0</v>
      </c>
      <c r="L77" s="9">
        <v>0</v>
      </c>
      <c r="M77" s="9">
        <v>0</v>
      </c>
      <c r="N77" s="9">
        <v>1606608.8556209807</v>
      </c>
      <c r="O77" s="9">
        <v>0</v>
      </c>
      <c r="P77" s="9">
        <v>1606608.8556209807</v>
      </c>
      <c r="Q77" s="9">
        <v>1577019.5668448596</v>
      </c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S77" s="9"/>
      <c r="AT77" s="9"/>
      <c r="AU77" s="9"/>
      <c r="AV77" s="9"/>
      <c r="AW77" s="9"/>
      <c r="AX77" s="9"/>
      <c r="BK77" s="9"/>
      <c r="BL77" s="9"/>
      <c r="BM77" s="9"/>
      <c r="BN77" s="9"/>
      <c r="BO77" s="9"/>
      <c r="BQ77" s="52">
        <v>0</v>
      </c>
      <c r="BR77" s="52">
        <v>0</v>
      </c>
      <c r="BS77" s="52">
        <v>0</v>
      </c>
      <c r="BT77" s="52">
        <v>0</v>
      </c>
      <c r="BU77" s="52">
        <v>0</v>
      </c>
      <c r="BV77" s="52">
        <v>0</v>
      </c>
      <c r="BW77" s="52"/>
      <c r="BX77" s="52">
        <v>0</v>
      </c>
      <c r="BY77" s="52">
        <v>0</v>
      </c>
      <c r="BZ77" s="52">
        <f t="shared" si="161"/>
        <v>0</v>
      </c>
      <c r="CA77" s="9"/>
      <c r="CB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Y77" s="9"/>
    </row>
    <row r="78" spans="1:129" s="4" customFormat="1">
      <c r="A78" s="48" t="s">
        <v>252</v>
      </c>
      <c r="B78" s="49"/>
      <c r="C78" s="49" t="s">
        <v>253</v>
      </c>
      <c r="D78" s="49" t="s">
        <v>365</v>
      </c>
      <c r="E78" s="9">
        <v>0</v>
      </c>
      <c r="F78" s="9">
        <v>0</v>
      </c>
      <c r="G78" s="9">
        <f t="shared" si="160"/>
        <v>51085.247987796509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51085.247987796509</v>
      </c>
      <c r="O78" s="9">
        <v>0</v>
      </c>
      <c r="P78" s="9">
        <v>51085.247987796509</v>
      </c>
      <c r="Q78" s="9">
        <v>51085.247987796509</v>
      </c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S78" s="9"/>
      <c r="AT78" s="9"/>
      <c r="AU78" s="9"/>
      <c r="AV78" s="9"/>
      <c r="AW78" s="9"/>
      <c r="AX78" s="9"/>
      <c r="BK78" s="9"/>
      <c r="BL78" s="9"/>
      <c r="BM78" s="9"/>
      <c r="BN78" s="9"/>
      <c r="BO78" s="9"/>
      <c r="BQ78" s="52">
        <v>0</v>
      </c>
      <c r="BR78" s="52">
        <v>0</v>
      </c>
      <c r="BS78" s="52">
        <v>0</v>
      </c>
      <c r="BT78" s="52">
        <v>0</v>
      </c>
      <c r="BU78" s="52">
        <v>0</v>
      </c>
      <c r="BV78" s="52">
        <v>0</v>
      </c>
      <c r="BW78" s="52"/>
      <c r="BX78" s="52">
        <v>0</v>
      </c>
      <c r="BY78" s="52">
        <v>0</v>
      </c>
      <c r="BZ78" s="52">
        <f t="shared" si="161"/>
        <v>0</v>
      </c>
      <c r="CA78" s="9"/>
      <c r="CB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Y78" s="9"/>
    </row>
    <row r="79" spans="1:129" s="4" customFormat="1">
      <c r="A79" s="48" t="s">
        <v>254</v>
      </c>
      <c r="B79" s="49"/>
      <c r="C79" s="49" t="s">
        <v>255</v>
      </c>
      <c r="D79" s="49" t="s">
        <v>366</v>
      </c>
      <c r="E79" s="9">
        <v>16.203273349007159</v>
      </c>
      <c r="F79" s="9">
        <v>18817.780391693941</v>
      </c>
      <c r="G79" s="9">
        <f t="shared" si="160"/>
        <v>1279464.2278944713</v>
      </c>
      <c r="H79" s="9">
        <v>216804.90562808537</v>
      </c>
      <c r="I79" s="9">
        <v>10755.305111078042</v>
      </c>
      <c r="J79" s="9">
        <v>0</v>
      </c>
      <c r="K79" s="9">
        <v>0</v>
      </c>
      <c r="L79" s="9">
        <v>0</v>
      </c>
      <c r="M79" s="9">
        <v>0</v>
      </c>
      <c r="N79" s="9">
        <v>1525858.4222986777</v>
      </c>
      <c r="O79" s="9">
        <v>0</v>
      </c>
      <c r="P79" s="9">
        <v>1525858.4222986777</v>
      </c>
      <c r="Q79" s="9">
        <v>1496269.1335225566</v>
      </c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S79" s="9"/>
      <c r="AT79" s="9"/>
      <c r="AU79" s="9"/>
      <c r="AV79" s="9"/>
      <c r="AW79" s="9"/>
      <c r="AX79" s="9"/>
      <c r="BK79" s="9"/>
      <c r="BL79" s="9"/>
      <c r="BM79" s="9"/>
      <c r="BN79" s="9"/>
      <c r="BO79" s="9"/>
      <c r="BQ79" s="52">
        <v>0</v>
      </c>
      <c r="BR79" s="52">
        <v>0</v>
      </c>
      <c r="BS79" s="52">
        <v>0</v>
      </c>
      <c r="BT79" s="52">
        <v>0</v>
      </c>
      <c r="BU79" s="52">
        <v>0</v>
      </c>
      <c r="BV79" s="52">
        <v>0</v>
      </c>
      <c r="BW79" s="52"/>
      <c r="BX79" s="52">
        <v>0</v>
      </c>
      <c r="BY79" s="52">
        <v>0</v>
      </c>
      <c r="BZ79" s="52">
        <f t="shared" si="161"/>
        <v>0</v>
      </c>
      <c r="CA79" s="9"/>
      <c r="CB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Y79" s="9"/>
    </row>
    <row r="80" spans="1:129" s="4" customFormat="1">
      <c r="A80" s="48" t="s">
        <v>256</v>
      </c>
      <c r="B80" s="50" t="s">
        <v>257</v>
      </c>
      <c r="C80" s="49" t="s">
        <v>258</v>
      </c>
      <c r="D80" s="49" t="s">
        <v>367</v>
      </c>
      <c r="E80" s="9">
        <v>0</v>
      </c>
      <c r="F80" s="9">
        <v>0</v>
      </c>
      <c r="G80" s="9">
        <f t="shared" si="160"/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S80" s="9"/>
      <c r="AT80" s="9"/>
      <c r="AU80" s="9"/>
      <c r="AV80" s="9"/>
      <c r="AW80" s="9"/>
      <c r="AX80" s="9"/>
      <c r="BK80" s="9"/>
      <c r="BL80" s="9"/>
      <c r="BM80" s="9"/>
      <c r="BN80" s="9"/>
      <c r="BO80" s="9"/>
      <c r="BQ80" s="52">
        <v>0</v>
      </c>
      <c r="BR80" s="52">
        <v>0</v>
      </c>
      <c r="BS80" s="52">
        <v>0</v>
      </c>
      <c r="BT80" s="52">
        <v>0</v>
      </c>
      <c r="BU80" s="52">
        <v>0</v>
      </c>
      <c r="BV80" s="52">
        <v>0</v>
      </c>
      <c r="BW80" s="52"/>
      <c r="BX80" s="52">
        <v>0</v>
      </c>
      <c r="BY80" s="52">
        <v>0</v>
      </c>
      <c r="BZ80" s="52">
        <f t="shared" si="161"/>
        <v>0</v>
      </c>
      <c r="CA80" s="9"/>
      <c r="CB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Y80" s="9"/>
    </row>
    <row r="81" spans="1:129" s="4" customFormat="1">
      <c r="A81" s="48" t="s">
        <v>259</v>
      </c>
      <c r="B81" s="50" t="s">
        <v>260</v>
      </c>
      <c r="C81" s="49" t="s">
        <v>261</v>
      </c>
      <c r="D81" s="49" t="s">
        <v>368</v>
      </c>
      <c r="E81" s="9">
        <v>0</v>
      </c>
      <c r="F81" s="9">
        <v>0</v>
      </c>
      <c r="G81" s="9">
        <f t="shared" si="160"/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BK81" s="9"/>
      <c r="BL81" s="9"/>
      <c r="BM81" s="9"/>
      <c r="BN81" s="9"/>
      <c r="BO81" s="9"/>
      <c r="BQ81" s="52">
        <v>0</v>
      </c>
      <c r="BR81" s="52">
        <v>0</v>
      </c>
      <c r="BS81" s="52">
        <v>0</v>
      </c>
      <c r="BT81" s="52">
        <v>0</v>
      </c>
      <c r="BU81" s="52">
        <v>0</v>
      </c>
      <c r="BV81" s="52">
        <v>0</v>
      </c>
      <c r="BW81" s="52"/>
      <c r="BX81" s="52">
        <v>0</v>
      </c>
      <c r="BY81" s="52">
        <v>0</v>
      </c>
      <c r="BZ81" s="52">
        <f t="shared" si="161"/>
        <v>0</v>
      </c>
      <c r="CA81" s="9"/>
      <c r="CB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Y81" s="9"/>
    </row>
    <row r="82" spans="1:129" s="4" customFormat="1">
      <c r="A82" s="48" t="s">
        <v>262</v>
      </c>
      <c r="B82" s="49" t="s">
        <v>263</v>
      </c>
      <c r="C82" s="49" t="s">
        <v>264</v>
      </c>
      <c r="D82" s="49" t="s">
        <v>369</v>
      </c>
      <c r="E82" s="9">
        <v>16.203273349007159</v>
      </c>
      <c r="F82" s="9">
        <v>18526.110285970324</v>
      </c>
      <c r="G82" s="9">
        <f t="shared" si="160"/>
        <v>1279324.2891725919</v>
      </c>
      <c r="H82" s="9">
        <v>216804.90562808537</v>
      </c>
      <c r="I82" s="9">
        <v>10755.305111078042</v>
      </c>
      <c r="J82" s="9">
        <v>0</v>
      </c>
      <c r="K82" s="9">
        <v>0</v>
      </c>
      <c r="L82" s="9">
        <v>0</v>
      </c>
      <c r="M82" s="9">
        <v>0</v>
      </c>
      <c r="N82" s="9">
        <v>1525426.8134710744</v>
      </c>
      <c r="O82" s="9">
        <v>0</v>
      </c>
      <c r="P82" s="9">
        <v>1525426.8134710744</v>
      </c>
      <c r="Q82" s="9">
        <v>1496129.1948006772</v>
      </c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BK82" s="9"/>
      <c r="BL82" s="9"/>
      <c r="BM82" s="9"/>
      <c r="BN82" s="9"/>
      <c r="BO82" s="9"/>
      <c r="BQ82" s="52">
        <v>0</v>
      </c>
      <c r="BR82" s="52">
        <v>0</v>
      </c>
      <c r="BS82" s="52">
        <v>0</v>
      </c>
      <c r="BT82" s="52">
        <v>0</v>
      </c>
      <c r="BU82" s="52">
        <v>0</v>
      </c>
      <c r="BV82" s="52">
        <v>0</v>
      </c>
      <c r="BW82" s="52"/>
      <c r="BX82" s="52">
        <v>0</v>
      </c>
      <c r="BY82" s="52">
        <v>0</v>
      </c>
      <c r="BZ82" s="52">
        <f t="shared" si="161"/>
        <v>0</v>
      </c>
      <c r="CA82" s="9"/>
      <c r="CB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Y82" s="9"/>
    </row>
    <row r="83" spans="1:129" s="4" customFormat="1">
      <c r="A83" s="48" t="s">
        <v>265</v>
      </c>
      <c r="B83" s="49" t="s">
        <v>266</v>
      </c>
      <c r="C83" s="49" t="s">
        <v>267</v>
      </c>
      <c r="D83" s="49" t="s">
        <v>370</v>
      </c>
      <c r="E83" s="9">
        <v>0</v>
      </c>
      <c r="F83" s="9">
        <v>0</v>
      </c>
      <c r="G83" s="9">
        <f t="shared" si="160"/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BK83" s="9"/>
      <c r="BL83" s="9"/>
      <c r="BM83" s="9"/>
      <c r="BN83" s="9"/>
      <c r="BO83" s="9"/>
      <c r="BQ83" s="52">
        <v>0</v>
      </c>
      <c r="BR83" s="52">
        <v>0</v>
      </c>
      <c r="BS83" s="52">
        <v>0</v>
      </c>
      <c r="BT83" s="52">
        <v>0</v>
      </c>
      <c r="BU83" s="52">
        <v>0</v>
      </c>
      <c r="BV83" s="52">
        <v>0</v>
      </c>
      <c r="BW83" s="52"/>
      <c r="BX83" s="52">
        <v>0</v>
      </c>
      <c r="BY83" s="52">
        <v>0</v>
      </c>
      <c r="BZ83" s="52">
        <f t="shared" si="161"/>
        <v>0</v>
      </c>
      <c r="CA83" s="9"/>
      <c r="CB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Y83" s="9"/>
    </row>
    <row r="84" spans="1:129" s="4" customFormat="1">
      <c r="A84" s="48" t="s">
        <v>268</v>
      </c>
      <c r="B84" s="49" t="s">
        <v>269</v>
      </c>
      <c r="C84" s="49" t="s">
        <v>270</v>
      </c>
      <c r="D84" s="49" t="s">
        <v>371</v>
      </c>
      <c r="E84" s="9">
        <v>0</v>
      </c>
      <c r="F84" s="9">
        <v>175.47662572362179</v>
      </c>
      <c r="G84" s="9">
        <f t="shared" si="160"/>
        <v>139.8255243977955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315.3021501214173</v>
      </c>
      <c r="O84" s="9">
        <v>0</v>
      </c>
      <c r="P84" s="9">
        <v>315.30215012141736</v>
      </c>
      <c r="Q84" s="9">
        <v>139.8255243977955</v>
      </c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BK84" s="9"/>
      <c r="BL84" s="9"/>
      <c r="BM84" s="9"/>
      <c r="BN84" s="9"/>
      <c r="BO84" s="9"/>
      <c r="BQ84" s="52">
        <v>0</v>
      </c>
      <c r="BR84" s="52">
        <v>0</v>
      </c>
      <c r="BS84" s="52">
        <v>0</v>
      </c>
      <c r="BT84" s="52">
        <v>0</v>
      </c>
      <c r="BU84" s="52">
        <v>0</v>
      </c>
      <c r="BV84" s="52">
        <v>0</v>
      </c>
      <c r="BW84" s="52"/>
      <c r="BX84" s="52">
        <v>0</v>
      </c>
      <c r="BY84" s="52">
        <v>0</v>
      </c>
      <c r="BZ84" s="52">
        <f t="shared" si="161"/>
        <v>0</v>
      </c>
      <c r="CA84" s="9"/>
      <c r="CB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Y84" s="9"/>
    </row>
    <row r="85" spans="1:129" s="4" customFormat="1">
      <c r="A85" s="48" t="s">
        <v>271</v>
      </c>
      <c r="B85" s="51" t="s">
        <v>272</v>
      </c>
      <c r="C85" s="49" t="s">
        <v>273</v>
      </c>
      <c r="D85" s="49" t="s">
        <v>372</v>
      </c>
      <c r="E85" s="9">
        <v>0</v>
      </c>
      <c r="F85" s="9">
        <v>175.47662572362179</v>
      </c>
      <c r="G85" s="9">
        <f t="shared" si="160"/>
        <v>139.8255243977955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315.3021501214173</v>
      </c>
      <c r="O85" s="9">
        <v>0</v>
      </c>
      <c r="P85" s="9">
        <v>315.30215012141736</v>
      </c>
      <c r="Q85" s="9">
        <v>139.8255243977955</v>
      </c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BK85" s="9"/>
      <c r="BL85" s="9"/>
      <c r="BM85" s="9"/>
      <c r="BN85" s="9"/>
      <c r="BO85" s="9"/>
      <c r="BQ85" s="52">
        <v>0</v>
      </c>
      <c r="BR85" s="52">
        <v>0</v>
      </c>
      <c r="BS85" s="52">
        <v>0</v>
      </c>
      <c r="BT85" s="52">
        <v>0</v>
      </c>
      <c r="BU85" s="52">
        <v>0</v>
      </c>
      <c r="BV85" s="52">
        <v>0</v>
      </c>
      <c r="BW85" s="52"/>
      <c r="BX85" s="52">
        <v>0</v>
      </c>
      <c r="BY85" s="52">
        <v>0</v>
      </c>
      <c r="BZ85" s="52">
        <f t="shared" si="161"/>
        <v>0</v>
      </c>
      <c r="CA85" s="9"/>
      <c r="CB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Y85" s="9"/>
    </row>
    <row r="86" spans="1:129" s="4" customFormat="1">
      <c r="A86" s="48" t="s">
        <v>274</v>
      </c>
      <c r="B86" s="51" t="s">
        <v>272</v>
      </c>
      <c r="C86" s="49" t="s">
        <v>275</v>
      </c>
      <c r="D86" s="49" t="s">
        <v>373</v>
      </c>
      <c r="E86" s="9">
        <v>0</v>
      </c>
      <c r="F86" s="9">
        <v>0</v>
      </c>
      <c r="G86" s="9">
        <f t="shared" si="160"/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BK86" s="9"/>
      <c r="BL86" s="9"/>
      <c r="BM86" s="9"/>
      <c r="BN86" s="9"/>
      <c r="BO86" s="9"/>
      <c r="BQ86" s="52">
        <v>0</v>
      </c>
      <c r="BR86" s="52">
        <v>0</v>
      </c>
      <c r="BS86" s="52">
        <v>0</v>
      </c>
      <c r="BT86" s="52">
        <v>0</v>
      </c>
      <c r="BU86" s="52">
        <v>0</v>
      </c>
      <c r="BV86" s="52">
        <v>0</v>
      </c>
      <c r="BW86" s="52"/>
      <c r="BX86" s="52">
        <v>0</v>
      </c>
      <c r="BY86" s="52">
        <v>0</v>
      </c>
      <c r="BZ86" s="52">
        <f t="shared" si="161"/>
        <v>0</v>
      </c>
      <c r="CA86" s="9"/>
      <c r="CB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Y86" s="9"/>
    </row>
    <row r="87" spans="1:129" s="4" customFormat="1">
      <c r="A87" s="48" t="s">
        <v>276</v>
      </c>
      <c r="B87" s="49" t="s">
        <v>277</v>
      </c>
      <c r="C87" s="49" t="s">
        <v>278</v>
      </c>
      <c r="D87" s="49" t="s">
        <v>374</v>
      </c>
      <c r="E87" s="9">
        <v>0</v>
      </c>
      <c r="F87" s="9">
        <v>116.19347999999999</v>
      </c>
      <c r="G87" s="9">
        <f t="shared" si="160"/>
        <v>0.11319748153540414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116.30667748153542</v>
      </c>
      <c r="O87" s="9">
        <v>0</v>
      </c>
      <c r="P87" s="9">
        <v>116.30667748153542</v>
      </c>
      <c r="Q87" s="9">
        <v>0.11319748153540414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BK87" s="9"/>
      <c r="BL87" s="9"/>
      <c r="BM87" s="9"/>
      <c r="BN87" s="9"/>
      <c r="BO87" s="9"/>
      <c r="BQ87" s="52">
        <v>0</v>
      </c>
      <c r="BR87" s="52">
        <v>0</v>
      </c>
      <c r="BS87" s="52">
        <v>0</v>
      </c>
      <c r="BT87" s="52">
        <v>0</v>
      </c>
      <c r="BU87" s="52">
        <v>0</v>
      </c>
      <c r="BV87" s="52">
        <v>0</v>
      </c>
      <c r="BW87" s="52"/>
      <c r="BX87" s="52">
        <v>0</v>
      </c>
      <c r="BY87" s="52">
        <v>0</v>
      </c>
      <c r="BZ87" s="52">
        <f t="shared" si="161"/>
        <v>0</v>
      </c>
      <c r="CA87" s="9"/>
      <c r="CB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Y87" s="9"/>
    </row>
    <row r="88" spans="1:129" s="4" customFormat="1">
      <c r="A88" s="48" t="s">
        <v>279</v>
      </c>
      <c r="B88" s="49" t="s">
        <v>280</v>
      </c>
      <c r="C88" s="49" t="s">
        <v>281</v>
      </c>
      <c r="D88" s="49" t="s">
        <v>375</v>
      </c>
      <c r="E88" s="9">
        <v>0</v>
      </c>
      <c r="F88" s="9">
        <v>0</v>
      </c>
      <c r="G88" s="9">
        <f t="shared" si="160"/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BK88" s="9"/>
      <c r="BL88" s="9"/>
      <c r="BM88" s="9"/>
      <c r="BN88" s="9"/>
      <c r="BO88" s="9"/>
      <c r="BQ88" s="52">
        <v>0</v>
      </c>
      <c r="BR88" s="52">
        <v>0</v>
      </c>
      <c r="BS88" s="52">
        <v>0</v>
      </c>
      <c r="BT88" s="52">
        <v>0</v>
      </c>
      <c r="BU88" s="52">
        <v>0</v>
      </c>
      <c r="BV88" s="52">
        <v>0</v>
      </c>
      <c r="BW88" s="52"/>
      <c r="BX88" s="52">
        <v>0</v>
      </c>
      <c r="BY88" s="52">
        <v>0</v>
      </c>
      <c r="BZ88" s="52">
        <f t="shared" si="161"/>
        <v>0</v>
      </c>
      <c r="CA88" s="9"/>
      <c r="CB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Y88" s="9"/>
    </row>
    <row r="89" spans="1:129" s="4" customFormat="1">
      <c r="A89" s="48" t="s">
        <v>282</v>
      </c>
      <c r="B89" s="49" t="s">
        <v>283</v>
      </c>
      <c r="C89" s="49" t="s">
        <v>284</v>
      </c>
      <c r="D89" s="49" t="s">
        <v>376</v>
      </c>
      <c r="E89" s="9">
        <v>0</v>
      </c>
      <c r="F89" s="9">
        <v>0</v>
      </c>
      <c r="G89" s="9">
        <f t="shared" si="160"/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BK89" s="9"/>
      <c r="BL89" s="9"/>
      <c r="BM89" s="9"/>
      <c r="BN89" s="9"/>
      <c r="BO89" s="9"/>
      <c r="BQ89" s="52">
        <v>0</v>
      </c>
      <c r="BR89" s="52">
        <v>0</v>
      </c>
      <c r="BS89" s="52">
        <v>0</v>
      </c>
      <c r="BT89" s="52">
        <v>0</v>
      </c>
      <c r="BU89" s="52">
        <v>0</v>
      </c>
      <c r="BV89" s="52">
        <v>0</v>
      </c>
      <c r="BW89" s="52"/>
      <c r="BX89" s="52">
        <v>0</v>
      </c>
      <c r="BY89" s="52">
        <v>0</v>
      </c>
      <c r="BZ89" s="52">
        <f t="shared" si="161"/>
        <v>0</v>
      </c>
      <c r="CA89" s="9"/>
      <c r="CB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Y89" s="9"/>
    </row>
    <row r="90" spans="1:129" s="4" customFormat="1">
      <c r="A90" s="48" t="s">
        <v>285</v>
      </c>
      <c r="B90" s="49"/>
      <c r="C90" s="49" t="s">
        <v>286</v>
      </c>
      <c r="D90" s="49" t="s">
        <v>377</v>
      </c>
      <c r="E90" s="9">
        <v>0</v>
      </c>
      <c r="F90" s="9">
        <v>0</v>
      </c>
      <c r="G90" s="9">
        <f t="shared" si="160"/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BK90" s="9"/>
      <c r="BL90" s="9"/>
      <c r="BM90" s="9"/>
      <c r="BN90" s="9"/>
      <c r="BO90" s="9"/>
      <c r="BQ90" s="52">
        <v>0</v>
      </c>
      <c r="BR90" s="52">
        <v>0</v>
      </c>
      <c r="BS90" s="52">
        <v>0</v>
      </c>
      <c r="BT90" s="52">
        <v>0</v>
      </c>
      <c r="BU90" s="52">
        <v>0</v>
      </c>
      <c r="BV90" s="52">
        <v>0</v>
      </c>
      <c r="BW90" s="52"/>
      <c r="BX90" s="52">
        <v>0</v>
      </c>
      <c r="BY90" s="52">
        <v>0</v>
      </c>
      <c r="BZ90" s="52">
        <f t="shared" si="161"/>
        <v>0</v>
      </c>
      <c r="CA90" s="9"/>
      <c r="CB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Y90" s="9"/>
    </row>
    <row r="91" spans="1:129" s="4" customFormat="1">
      <c r="A91" s="48" t="s">
        <v>287</v>
      </c>
      <c r="B91" s="49"/>
      <c r="C91" s="49" t="s">
        <v>288</v>
      </c>
      <c r="D91" s="49" t="s">
        <v>378</v>
      </c>
      <c r="E91" s="9">
        <v>0</v>
      </c>
      <c r="F91" s="9">
        <v>0</v>
      </c>
      <c r="G91" s="9">
        <f t="shared" si="160"/>
        <v>29665.185334506659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29665.185334506659</v>
      </c>
      <c r="O91" s="9">
        <v>0</v>
      </c>
      <c r="P91" s="9">
        <v>29665.185334506659</v>
      </c>
      <c r="Q91" s="9">
        <v>29665.185334506659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BK91" s="9"/>
      <c r="BL91" s="9"/>
      <c r="BM91" s="9"/>
      <c r="BN91" s="9"/>
      <c r="BO91" s="9"/>
      <c r="BQ91" s="52">
        <v>0</v>
      </c>
      <c r="BR91" s="52">
        <v>0</v>
      </c>
      <c r="BS91" s="52">
        <v>0</v>
      </c>
      <c r="BT91" s="52">
        <v>0</v>
      </c>
      <c r="BU91" s="52">
        <v>0</v>
      </c>
      <c r="BV91" s="52">
        <v>0</v>
      </c>
      <c r="BW91" s="52"/>
      <c r="BX91" s="52">
        <v>0</v>
      </c>
      <c r="BY91" s="52">
        <v>0</v>
      </c>
      <c r="BZ91" s="52">
        <f t="shared" si="161"/>
        <v>0</v>
      </c>
      <c r="CA91" s="9"/>
      <c r="CB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Y91" s="9"/>
    </row>
    <row r="92" spans="1:129" s="4" customFormat="1" ht="15" customHeight="1">
      <c r="A92" s="48" t="s">
        <v>289</v>
      </c>
      <c r="B92" s="49"/>
      <c r="C92" s="49" t="s">
        <v>290</v>
      </c>
      <c r="D92" s="92" t="s">
        <v>379</v>
      </c>
      <c r="E92" s="9">
        <v>0</v>
      </c>
      <c r="F92" s="9">
        <v>0</v>
      </c>
      <c r="G92" s="9">
        <f t="shared" si="160"/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BK92" s="9"/>
      <c r="BL92" s="9"/>
      <c r="BM92" s="9"/>
      <c r="BN92" s="9"/>
      <c r="BO92" s="9"/>
      <c r="BQ92" s="52">
        <v>0</v>
      </c>
      <c r="BR92" s="52">
        <v>0</v>
      </c>
      <c r="BS92" s="52">
        <v>0</v>
      </c>
      <c r="BT92" s="52">
        <v>0</v>
      </c>
      <c r="BU92" s="52">
        <v>0</v>
      </c>
      <c r="BV92" s="52">
        <v>0</v>
      </c>
      <c r="BW92" s="52"/>
      <c r="BX92" s="52">
        <v>0</v>
      </c>
      <c r="BY92" s="52">
        <v>0</v>
      </c>
      <c r="BZ92" s="52">
        <f t="shared" si="161"/>
        <v>0</v>
      </c>
      <c r="CA92" s="9"/>
      <c r="CB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Y92" s="9"/>
    </row>
    <row r="93" spans="1:129" s="4" customFormat="1">
      <c r="A93" s="48" t="s">
        <v>291</v>
      </c>
      <c r="B93" s="49"/>
      <c r="C93" s="49" t="s">
        <v>292</v>
      </c>
      <c r="D93" s="92" t="s">
        <v>380</v>
      </c>
      <c r="E93" s="9">
        <v>0</v>
      </c>
      <c r="F93" s="9">
        <v>0</v>
      </c>
      <c r="G93" s="9">
        <f t="shared" si="160"/>
        <v>37669.541520681159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37669.541520681159</v>
      </c>
      <c r="O93" s="9">
        <v>0</v>
      </c>
      <c r="P93" s="9">
        <v>37669.541520681159</v>
      </c>
      <c r="Q93" s="9">
        <v>37669.541520681159</v>
      </c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BK93" s="9"/>
      <c r="BL93" s="9"/>
      <c r="BM93" s="9"/>
      <c r="BN93" s="9"/>
      <c r="BO93" s="9"/>
      <c r="BQ93" s="52">
        <v>0</v>
      </c>
      <c r="BR93" s="52">
        <v>0</v>
      </c>
      <c r="BS93" s="52">
        <v>0</v>
      </c>
      <c r="BT93" s="52">
        <v>0</v>
      </c>
      <c r="BU93" s="52">
        <v>0</v>
      </c>
      <c r="BV93" s="52">
        <v>0</v>
      </c>
      <c r="BW93" s="52"/>
      <c r="BX93" s="52">
        <v>0</v>
      </c>
      <c r="BY93" s="52">
        <v>0</v>
      </c>
      <c r="BZ93" s="52">
        <f t="shared" si="161"/>
        <v>0</v>
      </c>
      <c r="CA93" s="9"/>
      <c r="CB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Y93" s="9"/>
    </row>
    <row r="94" spans="1:129">
      <c r="A94" s="23"/>
      <c r="B94" s="17"/>
      <c r="C94" s="17"/>
      <c r="D94" s="17"/>
      <c r="E94" s="9"/>
      <c r="F94" s="9" t="s">
        <v>293</v>
      </c>
      <c r="G94" s="9" t="s">
        <v>293</v>
      </c>
      <c r="H94" s="9"/>
      <c r="I94" s="9" t="s">
        <v>293</v>
      </c>
      <c r="J94" s="9" t="s">
        <v>293</v>
      </c>
      <c r="K94" s="9" t="s">
        <v>293</v>
      </c>
      <c r="L94" s="9" t="s">
        <v>293</v>
      </c>
      <c r="M94" s="9" t="s">
        <v>293</v>
      </c>
      <c r="N94" s="9" t="s">
        <v>293</v>
      </c>
      <c r="O94" s="9" t="s">
        <v>293</v>
      </c>
      <c r="P94" s="9" t="s">
        <v>293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BK94" s="9"/>
      <c r="BL94" s="9"/>
      <c r="BM94" s="9"/>
      <c r="BN94" s="9"/>
      <c r="BO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Y94" s="9"/>
    </row>
    <row r="95" spans="1:129"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BK95" s="9"/>
      <c r="BL95" s="9"/>
      <c r="BM95" s="9"/>
      <c r="BN95" s="9"/>
      <c r="BO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Y95" s="9"/>
    </row>
    <row r="96" spans="1:129"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BK96" s="9"/>
      <c r="BL96" s="9"/>
      <c r="BM96" s="9"/>
      <c r="BN96" s="9"/>
      <c r="BO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Y96" s="9"/>
    </row>
    <row r="97" spans="18:129" s="1" customFormat="1"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BK97" s="9"/>
      <c r="BL97" s="9"/>
      <c r="BM97" s="9"/>
      <c r="BN97" s="9"/>
      <c r="BO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Y97" s="9"/>
    </row>
  </sheetData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netozero計算フォーマット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2025-09-23T09:49:39Z</dcterms:created>
  <dcterms:modified xsi:type="dcterms:W3CDTF">2025-11-17T23:10:41Z</dcterms:modified>
</cp:coreProperties>
</file>