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60112/"/>
    </mc:Choice>
  </mc:AlternateContent>
  <xr:revisionPtr revIDLastSave="0" documentId="13_ncr:1_{AD22EDE7-B884-9240-B8E2-DA8366643FDC}" xr6:coauthVersionLast="47" xr6:coauthVersionMax="47" xr10:uidLastSave="{00000000-0000-0000-0000-000000000000}"/>
  <bookViews>
    <workbookView xWindow="4960" yWindow="23900" windowWidth="24440" windowHeight="12940" xr2:uid="{A702A309-6DBF-9844-A2AC-7FC60ACB1A7C}"/>
  </bookViews>
  <sheets>
    <sheet name="energy" sheetId="1" r:id="rId1"/>
    <sheet name="c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E17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E19" i="2"/>
  <c r="E10" i="2"/>
  <c r="D11" i="2" s="1"/>
  <c r="D12" i="2" s="1"/>
  <c r="D13" i="2" s="1"/>
  <c r="D14" i="2" s="1"/>
  <c r="D15" i="2" s="1"/>
  <c r="D16" i="2" s="1"/>
  <c r="D17" i="2" s="1"/>
  <c r="D18" i="2" s="1"/>
  <c r="E2" i="2"/>
  <c r="D3" i="2" s="1"/>
  <c r="E15" i="1"/>
  <c r="E14" i="1"/>
  <c r="E13" i="1"/>
  <c r="E12" i="1"/>
  <c r="E11" i="1"/>
  <c r="E10" i="1"/>
  <c r="E9" i="1"/>
  <c r="D9" i="1"/>
  <c r="D10" i="1" s="1"/>
  <c r="D11" i="1" s="1"/>
  <c r="D12" i="1" s="1"/>
  <c r="D13" i="1" s="1"/>
  <c r="D14" i="1" s="1"/>
  <c r="E8" i="1"/>
  <c r="E7" i="1"/>
  <c r="E6" i="1"/>
  <c r="E5" i="1"/>
  <c r="E4" i="1"/>
  <c r="E3" i="1"/>
  <c r="E2" i="1"/>
  <c r="D3" i="1" s="1"/>
  <c r="D4" i="1" s="1"/>
  <c r="D5" i="1" s="1"/>
  <c r="D6" i="1" s="1"/>
  <c r="D7" i="1" s="1"/>
  <c r="D4" i="2" l="1"/>
  <c r="D5" i="2" s="1"/>
  <c r="D6" i="2" s="1"/>
  <c r="D7" i="2" s="1"/>
  <c r="D8" i="2" s="1"/>
  <c r="D9" i="2" s="1"/>
</calcChain>
</file>

<file path=xl/sharedStrings.xml><?xml version="1.0" encoding="utf-8"?>
<sst xmlns="http://schemas.openxmlformats.org/spreadsheetml/2006/main" count="80" uniqueCount="32">
  <si>
    <t>x</t>
  </si>
  <si>
    <t>total</t>
  </si>
  <si>
    <t>diff</t>
  </si>
  <si>
    <t>base</t>
  </si>
  <si>
    <t>v</t>
  </si>
  <si>
    <t>color</t>
  </si>
  <si>
    <t>label</t>
  </si>
  <si>
    <t>label_EN</t>
  </si>
  <si>
    <t>省エネ</t>
  </si>
  <si>
    <t>政府目標_2035</t>
  </si>
  <si>
    <t>1.5CRM_2035</t>
  </si>
  <si>
    <t>Stated_Policy_2035</t>
  </si>
  <si>
    <t>Base_Year</t>
  </si>
  <si>
    <t>基準年</t>
  </si>
  <si>
    <t>Demand_Change</t>
  </si>
  <si>
    <t>EAF</t>
  </si>
  <si>
    <t>H2-DRI</t>
  </si>
  <si>
    <t>Electrification</t>
  </si>
  <si>
    <t>Energy_Saving</t>
  </si>
  <si>
    <t>Enhance_Scrap</t>
  </si>
  <si>
    <t>石炭・石油_→ガス</t>
  </si>
  <si>
    <t>電力_脱炭素化</t>
  </si>
  <si>
    <t>Electricity_Decarbonize</t>
  </si>
  <si>
    <t>Coal/Oil_→Gas</t>
  </si>
  <si>
    <t>需要量_変化</t>
  </si>
  <si>
    <t>電炉_拡大</t>
  </si>
  <si>
    <t>水素_DRI</t>
  </si>
  <si>
    <t>工程電化_・水素化</t>
  </si>
  <si>
    <t>スクラップ鉄_利用拡大</t>
  </si>
  <si>
    <t>工程_電化_・水素化</t>
  </si>
  <si>
    <t>スクラップ_鉄利用_拡大</t>
  </si>
  <si>
    <t>Electri-_fication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</si>
</sst>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22A1A-F69A-3347-BAEF-3F0EC04BEDF0}">
  <dimension ref="A1:H15"/>
  <sheetViews>
    <sheetView tabSelected="1" workbookViewId="0">
      <selection activeCell="H7" sqref="H7"/>
    </sheetView>
  </sheetViews>
  <sheetFormatPr baseColWidth="10" defaultRowHeight="18" x14ac:dyDescent="0.25"/>
  <cols>
    <col min="1" max="6" width="10.83203125" style="1"/>
    <col min="7" max="8" width="20.83203125" style="1" customWidth="1"/>
    <col min="9" max="16384" width="10.832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1647.9300000000005</v>
      </c>
      <c r="D2" s="1">
        <v>0</v>
      </c>
      <c r="E2" s="1">
        <f>B2</f>
        <v>1647.9300000000005</v>
      </c>
      <c r="F2" s="1">
        <v>0</v>
      </c>
      <c r="G2" s="1" t="s">
        <v>13</v>
      </c>
      <c r="H2" s="1" t="s">
        <v>12</v>
      </c>
    </row>
    <row r="3" spans="1:8" x14ac:dyDescent="0.25">
      <c r="A3" s="1">
        <v>2</v>
      </c>
      <c r="C3" s="1">
        <v>44.820026307637143</v>
      </c>
      <c r="D3" s="1">
        <f>E2</f>
        <v>1647.9300000000005</v>
      </c>
      <c r="E3" s="1">
        <f>C3</f>
        <v>44.820026307637143</v>
      </c>
      <c r="F3" s="1">
        <v>2</v>
      </c>
      <c r="G3" s="1" t="s">
        <v>24</v>
      </c>
      <c r="H3" s="1" t="s">
        <v>14</v>
      </c>
    </row>
    <row r="4" spans="1:8" x14ac:dyDescent="0.25">
      <c r="A4" s="1">
        <v>3</v>
      </c>
      <c r="C4" s="1">
        <v>-30.449319828581576</v>
      </c>
      <c r="D4" s="1">
        <f>D3+E3+C4</f>
        <v>1662.3007064790561</v>
      </c>
      <c r="E4" s="1">
        <f>-C4</f>
        <v>30.449319828581576</v>
      </c>
      <c r="F4" s="1">
        <v>1</v>
      </c>
      <c r="G4" s="1" t="s">
        <v>25</v>
      </c>
      <c r="H4" s="1" t="s">
        <v>15</v>
      </c>
    </row>
    <row r="5" spans="1:8" x14ac:dyDescent="0.25">
      <c r="A5" s="1">
        <v>4</v>
      </c>
      <c r="C5" s="1">
        <v>-1.8028672228585572</v>
      </c>
      <c r="D5" s="1">
        <f>D4+C5</f>
        <v>1660.4978392561975</v>
      </c>
      <c r="E5" s="1">
        <f>-C5</f>
        <v>1.8028672228585572</v>
      </c>
      <c r="F5" s="1">
        <v>1</v>
      </c>
      <c r="G5" s="1" t="s">
        <v>26</v>
      </c>
      <c r="H5" s="1" t="s">
        <v>16</v>
      </c>
    </row>
    <row r="6" spans="1:8" x14ac:dyDescent="0.25">
      <c r="A6" s="1">
        <v>5</v>
      </c>
      <c r="C6" s="1">
        <v>-13.094687768630147</v>
      </c>
      <c r="D6" s="1">
        <f>D5+C6</f>
        <v>1647.4031514875674</v>
      </c>
      <c r="E6" s="1">
        <f>-C6</f>
        <v>13.094687768630147</v>
      </c>
      <c r="F6" s="1">
        <v>1</v>
      </c>
      <c r="G6" s="1" t="s">
        <v>27</v>
      </c>
      <c r="H6" s="1" t="s">
        <v>31</v>
      </c>
    </row>
    <row r="7" spans="1:8" x14ac:dyDescent="0.25">
      <c r="A7" s="1">
        <v>6</v>
      </c>
      <c r="C7" s="1">
        <v>-53.585216123137819</v>
      </c>
      <c r="D7" s="1">
        <f>D6+C7</f>
        <v>1593.8179353644296</v>
      </c>
      <c r="E7" s="1">
        <f>-C7</f>
        <v>53.585216123137819</v>
      </c>
      <c r="F7" s="1">
        <v>1</v>
      </c>
      <c r="G7" s="1" t="s">
        <v>8</v>
      </c>
      <c r="H7" s="1" t="s">
        <v>18</v>
      </c>
    </row>
    <row r="8" spans="1:8" x14ac:dyDescent="0.25">
      <c r="A8" s="1">
        <v>7</v>
      </c>
      <c r="B8" s="1">
        <v>1593.8179353644296</v>
      </c>
      <c r="D8" s="1">
        <v>0</v>
      </c>
      <c r="E8" s="1">
        <f>B8</f>
        <v>1593.8179353644296</v>
      </c>
      <c r="F8" s="1">
        <v>0</v>
      </c>
      <c r="G8" s="1" t="s">
        <v>9</v>
      </c>
      <c r="H8" s="1" t="s">
        <v>11</v>
      </c>
    </row>
    <row r="9" spans="1:8" x14ac:dyDescent="0.25">
      <c r="A9" s="1">
        <v>8</v>
      </c>
      <c r="C9" s="1">
        <v>-330.44354546057059</v>
      </c>
      <c r="D9" s="1">
        <f>E8+C9</f>
        <v>1263.3743899038591</v>
      </c>
      <c r="E9" s="1">
        <f>-C9</f>
        <v>330.44354546057059</v>
      </c>
      <c r="F9" s="1">
        <v>1</v>
      </c>
      <c r="G9" s="1" t="s">
        <v>24</v>
      </c>
      <c r="H9" s="1" t="s">
        <v>14</v>
      </c>
    </row>
    <row r="10" spans="1:8" x14ac:dyDescent="0.25">
      <c r="A10" s="1">
        <v>9</v>
      </c>
      <c r="C10" s="1">
        <v>-24.218198174156189</v>
      </c>
      <c r="D10" s="1">
        <f>D9+C10</f>
        <v>1239.1561917297029</v>
      </c>
      <c r="E10" s="1">
        <f>-C10</f>
        <v>24.218198174156189</v>
      </c>
      <c r="F10" s="1">
        <v>1</v>
      </c>
      <c r="G10" s="1" t="s">
        <v>28</v>
      </c>
      <c r="H10" s="1" t="s">
        <v>19</v>
      </c>
    </row>
    <row r="11" spans="1:8" x14ac:dyDescent="0.25">
      <c r="A11" s="1">
        <v>10</v>
      </c>
      <c r="C11" s="1">
        <v>-37.209358430570006</v>
      </c>
      <c r="D11" s="1">
        <f t="shared" ref="D11:D14" si="0">D10+C11</f>
        <v>1201.9468332991328</v>
      </c>
      <c r="E11" s="1">
        <f t="shared" ref="E11:E14" si="1">-C11</f>
        <v>37.209358430570006</v>
      </c>
      <c r="F11" s="1">
        <v>1</v>
      </c>
      <c r="G11" s="1" t="s">
        <v>25</v>
      </c>
      <c r="H11" s="1" t="s">
        <v>15</v>
      </c>
    </row>
    <row r="12" spans="1:8" x14ac:dyDescent="0.25">
      <c r="A12" s="1">
        <v>11</v>
      </c>
      <c r="C12" s="1">
        <v>-21.719182660496209</v>
      </c>
      <c r="D12" s="1">
        <f t="shared" si="0"/>
        <v>1180.2276506386365</v>
      </c>
      <c r="E12" s="1">
        <f t="shared" si="1"/>
        <v>21.719182660496209</v>
      </c>
      <c r="F12" s="1">
        <v>1</v>
      </c>
      <c r="G12" s="1" t="s">
        <v>26</v>
      </c>
      <c r="H12" s="1" t="s">
        <v>16</v>
      </c>
    </row>
    <row r="13" spans="1:8" x14ac:dyDescent="0.25">
      <c r="A13" s="1">
        <v>12</v>
      </c>
      <c r="C13" s="1">
        <v>-24.565279804023845</v>
      </c>
      <c r="D13" s="1">
        <f t="shared" si="0"/>
        <v>1155.6623708346126</v>
      </c>
      <c r="E13" s="1">
        <f t="shared" si="1"/>
        <v>24.565279804023845</v>
      </c>
      <c r="F13" s="1">
        <v>1</v>
      </c>
      <c r="G13" s="1" t="s">
        <v>27</v>
      </c>
      <c r="H13" s="1" t="s">
        <v>31</v>
      </c>
    </row>
    <row r="14" spans="1:8" x14ac:dyDescent="0.25">
      <c r="A14" s="1">
        <v>13</v>
      </c>
      <c r="C14" s="1">
        <v>-6.740728494560579</v>
      </c>
      <c r="D14" s="1">
        <f t="shared" si="0"/>
        <v>1148.9216423400521</v>
      </c>
      <c r="E14" s="1">
        <f t="shared" si="1"/>
        <v>6.740728494560579</v>
      </c>
      <c r="F14" s="1">
        <v>1</v>
      </c>
      <c r="G14" s="1" t="s">
        <v>8</v>
      </c>
      <c r="H14" s="1" t="s">
        <v>18</v>
      </c>
    </row>
    <row r="15" spans="1:8" x14ac:dyDescent="0.25">
      <c r="A15" s="1">
        <v>14</v>
      </c>
      <c r="B15" s="1">
        <v>1148.9216423400521</v>
      </c>
      <c r="D15" s="1">
        <v>0</v>
      </c>
      <c r="E15" s="1">
        <f>B15</f>
        <v>1148.9216423400521</v>
      </c>
      <c r="F15" s="1">
        <v>0</v>
      </c>
      <c r="G15" s="1" t="s">
        <v>10</v>
      </c>
      <c r="H15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6D03-F7E3-FA4D-AD33-2FE1B8D51BFD}">
  <dimension ref="A1:H19"/>
  <sheetViews>
    <sheetView workbookViewId="0">
      <selection activeCell="G13" sqref="G13"/>
    </sheetView>
  </sheetViews>
  <sheetFormatPr baseColWidth="10" defaultRowHeight="18" x14ac:dyDescent="0.25"/>
  <cols>
    <col min="1" max="16384" width="10.832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174.39819452857077</v>
      </c>
      <c r="D2" s="1">
        <v>0</v>
      </c>
      <c r="E2" s="1">
        <f>B2</f>
        <v>174.39819452857077</v>
      </c>
      <c r="F2" s="1">
        <v>0</v>
      </c>
      <c r="G2" s="1" t="s">
        <v>13</v>
      </c>
      <c r="H2" s="1" t="s">
        <v>12</v>
      </c>
    </row>
    <row r="3" spans="1:8" x14ac:dyDescent="0.25">
      <c r="A3" s="1">
        <v>2</v>
      </c>
      <c r="C3" s="1">
        <v>3.9553150592473294</v>
      </c>
      <c r="D3" s="1">
        <f>E2</f>
        <v>174.39819452857077</v>
      </c>
      <c r="E3" s="1">
        <f>C3</f>
        <v>3.9553150592473294</v>
      </c>
      <c r="F3" s="1">
        <v>2</v>
      </c>
      <c r="G3" s="1" t="s">
        <v>24</v>
      </c>
      <c r="H3" s="1" t="s">
        <v>14</v>
      </c>
    </row>
    <row r="4" spans="1:8" x14ac:dyDescent="0.25">
      <c r="A4" s="1">
        <v>3</v>
      </c>
      <c r="C4" s="1">
        <v>-2.2320245320355299</v>
      </c>
      <c r="D4" s="1">
        <f>D3+E3+C4</f>
        <v>176.12148505578259</v>
      </c>
      <c r="E4" s="1">
        <f t="shared" ref="E4:E9" si="0">-C4</f>
        <v>2.2320245320355299</v>
      </c>
      <c r="F4" s="1">
        <v>1</v>
      </c>
      <c r="G4" s="1" t="s">
        <v>25</v>
      </c>
      <c r="H4" s="1" t="s">
        <v>15</v>
      </c>
    </row>
    <row r="5" spans="1:8" x14ac:dyDescent="0.25">
      <c r="A5" s="1">
        <v>4</v>
      </c>
      <c r="C5" s="1">
        <v>-1.0215425560295768</v>
      </c>
      <c r="D5" s="1">
        <f>D4+C5</f>
        <v>175.09994249975301</v>
      </c>
      <c r="E5" s="1">
        <f t="shared" si="0"/>
        <v>1.0215425560295768</v>
      </c>
      <c r="F5" s="1">
        <v>1</v>
      </c>
      <c r="G5" s="1" t="s">
        <v>26</v>
      </c>
      <c r="H5" s="1" t="s">
        <v>16</v>
      </c>
    </row>
    <row r="6" spans="1:8" x14ac:dyDescent="0.25">
      <c r="A6" s="1">
        <v>5</v>
      </c>
      <c r="C6" s="1">
        <v>-7.4399847347334607</v>
      </c>
      <c r="D6" s="1">
        <f>D5+C6</f>
        <v>167.65995776501956</v>
      </c>
      <c r="E6" s="1">
        <f t="shared" si="0"/>
        <v>7.4399847347334607</v>
      </c>
      <c r="F6" s="1">
        <v>1</v>
      </c>
      <c r="G6" s="1" t="s">
        <v>29</v>
      </c>
      <c r="H6" s="1" t="s">
        <v>17</v>
      </c>
    </row>
    <row r="7" spans="1:8" x14ac:dyDescent="0.25">
      <c r="A7" s="1">
        <v>6</v>
      </c>
      <c r="C7" s="1">
        <v>-12.056252577145587</v>
      </c>
      <c r="D7" s="1">
        <f>D6+C7</f>
        <v>155.60370518787397</v>
      </c>
      <c r="E7" s="1">
        <f t="shared" si="0"/>
        <v>12.056252577145587</v>
      </c>
      <c r="F7" s="1">
        <v>1</v>
      </c>
      <c r="G7" s="1" t="s">
        <v>20</v>
      </c>
      <c r="H7" s="1" t="s">
        <v>23</v>
      </c>
    </row>
    <row r="8" spans="1:8" x14ac:dyDescent="0.25">
      <c r="A8" s="1">
        <v>7</v>
      </c>
      <c r="C8" s="1">
        <v>-6.4249536285091668</v>
      </c>
      <c r="D8" s="1">
        <f>D7+C8</f>
        <v>149.1787515593648</v>
      </c>
      <c r="E8" s="1">
        <f t="shared" si="0"/>
        <v>6.4249536285091668</v>
      </c>
      <c r="F8" s="1">
        <v>1</v>
      </c>
      <c r="G8" s="1" t="s">
        <v>8</v>
      </c>
      <c r="H8" s="1" t="s">
        <v>18</v>
      </c>
    </row>
    <row r="9" spans="1:8" x14ac:dyDescent="0.25">
      <c r="A9" s="1">
        <v>8</v>
      </c>
      <c r="C9" s="1">
        <v>-25.35205591496452</v>
      </c>
      <c r="D9" s="1">
        <f>D8+C9</f>
        <v>123.82669564440027</v>
      </c>
      <c r="E9" s="1">
        <f t="shared" si="0"/>
        <v>25.35205591496452</v>
      </c>
      <c r="F9" s="1">
        <v>1</v>
      </c>
      <c r="G9" s="1" t="s">
        <v>21</v>
      </c>
      <c r="H9" s="1" t="s">
        <v>22</v>
      </c>
    </row>
    <row r="10" spans="1:8" x14ac:dyDescent="0.25">
      <c r="A10" s="1">
        <v>9</v>
      </c>
      <c r="B10" s="1">
        <v>123.82669564440026</v>
      </c>
      <c r="D10" s="1">
        <v>0</v>
      </c>
      <c r="E10" s="1">
        <f>B10</f>
        <v>123.82669564440026</v>
      </c>
      <c r="F10" s="1">
        <v>0</v>
      </c>
      <c r="G10" s="1" t="s">
        <v>9</v>
      </c>
      <c r="H10" s="1" t="s">
        <v>11</v>
      </c>
    </row>
    <row r="11" spans="1:8" x14ac:dyDescent="0.25">
      <c r="A11" s="1">
        <v>10</v>
      </c>
      <c r="C11" s="1">
        <v>-22.697202551242597</v>
      </c>
      <c r="D11" s="1">
        <f>E10+C11</f>
        <v>101.12949309315766</v>
      </c>
      <c r="E11" s="1">
        <f>-C11</f>
        <v>22.697202551242597</v>
      </c>
      <c r="F11" s="1">
        <v>1</v>
      </c>
      <c r="G11" s="1" t="s">
        <v>24</v>
      </c>
      <c r="H11" s="1" t="s">
        <v>14</v>
      </c>
    </row>
    <row r="12" spans="1:8" x14ac:dyDescent="0.25">
      <c r="A12" s="1">
        <v>11</v>
      </c>
      <c r="C12" s="1">
        <v>-2.1685619585902614</v>
      </c>
      <c r="D12" s="1">
        <f>D11+C12</f>
        <v>98.960931134567403</v>
      </c>
      <c r="E12" s="1">
        <f>-C12</f>
        <v>2.1685619585902614</v>
      </c>
      <c r="F12" s="1">
        <v>1</v>
      </c>
      <c r="G12" s="1" t="s">
        <v>30</v>
      </c>
      <c r="H12" s="1" t="s">
        <v>19</v>
      </c>
    </row>
    <row r="13" spans="1:8" x14ac:dyDescent="0.25">
      <c r="A13" s="1">
        <v>12</v>
      </c>
      <c r="C13" s="1">
        <v>-3.3318250439535508</v>
      </c>
      <c r="D13" s="1">
        <f t="shared" ref="D13:D18" si="1">D12+C13</f>
        <v>95.629106090613845</v>
      </c>
      <c r="E13" s="1">
        <f t="shared" ref="E13:E18" si="2">-C13</f>
        <v>3.3318250439535508</v>
      </c>
      <c r="F13" s="1">
        <v>1</v>
      </c>
      <c r="G13" s="1" t="s">
        <v>25</v>
      </c>
      <c r="H13" s="1" t="s">
        <v>15</v>
      </c>
    </row>
    <row r="14" spans="1:8" x14ac:dyDescent="0.25">
      <c r="A14" s="1">
        <v>13</v>
      </c>
      <c r="C14" s="1">
        <v>-12.367372556120589</v>
      </c>
      <c r="D14" s="1">
        <f t="shared" si="1"/>
        <v>83.26173353449326</v>
      </c>
      <c r="E14" s="1">
        <f t="shared" si="2"/>
        <v>12.367372556120589</v>
      </c>
      <c r="F14" s="1">
        <v>1</v>
      </c>
      <c r="G14" s="1" t="s">
        <v>26</v>
      </c>
      <c r="H14" s="1" t="s">
        <v>16</v>
      </c>
    </row>
    <row r="15" spans="1:8" x14ac:dyDescent="0.25">
      <c r="A15" s="1">
        <v>14</v>
      </c>
      <c r="C15" s="1">
        <v>-2.5879585681493666</v>
      </c>
      <c r="D15" s="1">
        <f t="shared" si="1"/>
        <v>80.673774966343899</v>
      </c>
      <c r="E15" s="1">
        <f t="shared" si="2"/>
        <v>2.5879585681493666</v>
      </c>
      <c r="F15" s="1">
        <v>1</v>
      </c>
      <c r="G15" s="1" t="s">
        <v>29</v>
      </c>
      <c r="H15" s="1" t="s">
        <v>17</v>
      </c>
    </row>
    <row r="16" spans="1:8" x14ac:dyDescent="0.25">
      <c r="A16" s="1">
        <v>15</v>
      </c>
      <c r="C16" s="1">
        <v>-20.920816103072664</v>
      </c>
      <c r="D16" s="1">
        <f t="shared" si="1"/>
        <v>59.752958863271232</v>
      </c>
      <c r="E16" s="1">
        <f t="shared" si="2"/>
        <v>20.920816103072664</v>
      </c>
      <c r="F16" s="1">
        <v>1</v>
      </c>
      <c r="G16" s="1" t="s">
        <v>20</v>
      </c>
      <c r="H16" s="1" t="s">
        <v>23</v>
      </c>
    </row>
    <row r="17" spans="1:8" x14ac:dyDescent="0.25">
      <c r="A17" s="1">
        <v>16</v>
      </c>
      <c r="C17" s="1">
        <v>-5.0883514142816486E-2</v>
      </c>
      <c r="D17" s="1">
        <f t="shared" si="1"/>
        <v>59.702075349128414</v>
      </c>
      <c r="E17" s="1">
        <f t="shared" si="2"/>
        <v>5.0883514142816486E-2</v>
      </c>
      <c r="F17" s="1">
        <v>1</v>
      </c>
      <c r="G17" s="1" t="s">
        <v>8</v>
      </c>
      <c r="H17" s="1" t="s">
        <v>18</v>
      </c>
    </row>
    <row r="18" spans="1:8" x14ac:dyDescent="0.25">
      <c r="A18" s="1">
        <v>17</v>
      </c>
      <c r="C18" s="1">
        <v>-6.5039298339222533</v>
      </c>
      <c r="D18" s="1">
        <f t="shared" si="1"/>
        <v>53.198145515206164</v>
      </c>
      <c r="E18" s="1">
        <f t="shared" si="2"/>
        <v>6.5039298339222533</v>
      </c>
      <c r="F18" s="1">
        <v>1</v>
      </c>
      <c r="G18" s="1" t="s">
        <v>21</v>
      </c>
      <c r="H18" s="1" t="s">
        <v>22</v>
      </c>
    </row>
    <row r="19" spans="1:8" x14ac:dyDescent="0.25">
      <c r="A19" s="1">
        <v>18</v>
      </c>
      <c r="B19" s="1">
        <v>53.198145515206164</v>
      </c>
      <c r="D19" s="1">
        <v>0</v>
      </c>
      <c r="E19" s="1">
        <f>B19</f>
        <v>53.198145515206164</v>
      </c>
      <c r="F19" s="1">
        <v>0</v>
      </c>
      <c r="G19" s="1" t="s">
        <v>10</v>
      </c>
      <c r="H1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2026-01-15T07:25:11Z</dcterms:created>
  <dcterms:modified xsi:type="dcterms:W3CDTF">2026-01-15T08:14:12Z</dcterms:modified>
</cp:coreProperties>
</file>