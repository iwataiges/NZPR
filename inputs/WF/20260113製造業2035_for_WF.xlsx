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20260112/"/>
    </mc:Choice>
  </mc:AlternateContent>
  <xr:revisionPtr revIDLastSave="0" documentId="13_ncr:1_{C3B8B358-3F46-A045-BC73-FAA30F86470C}" xr6:coauthVersionLast="47" xr6:coauthVersionMax="47" xr10:uidLastSave="{00000000-0000-0000-0000-000000000000}"/>
  <bookViews>
    <workbookView xWindow="7900" yWindow="17080" windowWidth="27640" windowHeight="16940" activeTab="1" xr2:uid="{F37AD6D7-308D-494C-A168-E376E8EB36BF}"/>
  </bookViews>
  <sheets>
    <sheet name="energy" sheetId="2" r:id="rId1"/>
    <sheet name="co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E15" i="1"/>
  <c r="D15" i="1"/>
  <c r="E14" i="1"/>
  <c r="E8" i="1"/>
  <c r="E7" i="1"/>
  <c r="E11" i="2" l="1"/>
  <c r="E10" i="2"/>
  <c r="E9" i="2"/>
  <c r="E8" i="2"/>
  <c r="E6" i="2"/>
  <c r="E5" i="2"/>
  <c r="E4" i="2"/>
  <c r="E3" i="2"/>
  <c r="E2" i="2"/>
  <c r="D3" i="2" s="1"/>
  <c r="D4" i="2" s="1"/>
  <c r="D5" i="2" s="1"/>
  <c r="D6" i="2" s="1"/>
  <c r="B7" i="2" s="1"/>
  <c r="E7" i="2" s="1"/>
  <c r="D8" i="2" s="1"/>
  <c r="D9" i="2" s="1"/>
  <c r="D10" i="2" s="1"/>
  <c r="D11" i="2" s="1"/>
  <c r="B12" i="2" s="1"/>
  <c r="E12" i="2" s="1"/>
  <c r="E6" i="1"/>
  <c r="E13" i="1"/>
  <c r="E12" i="1"/>
  <c r="E11" i="1"/>
  <c r="E10" i="1"/>
  <c r="E5" i="1"/>
  <c r="E4" i="1"/>
  <c r="E3" i="1"/>
  <c r="E2" i="1"/>
  <c r="D3" i="1" s="1"/>
  <c r="D4" i="1" l="1"/>
  <c r="D5" i="1" l="1"/>
  <c r="D6" i="1" s="1"/>
  <c r="D8" i="1" s="1"/>
  <c r="E9" i="1" l="1"/>
  <c r="D10" i="1" s="1"/>
  <c r="D11" i="1" l="1"/>
  <c r="D12" i="1" l="1"/>
  <c r="D13" i="1" l="1"/>
  <c r="D14" i="1" s="1"/>
  <c r="E16" i="1" l="1"/>
</calcChain>
</file>

<file path=xl/sharedStrings.xml><?xml version="1.0" encoding="utf-8"?>
<sst xmlns="http://schemas.openxmlformats.org/spreadsheetml/2006/main" count="68" uniqueCount="26">
  <si>
    <t>x</t>
  </si>
  <si>
    <t>base</t>
  </si>
  <si>
    <t>v</t>
  </si>
  <si>
    <t>color</t>
  </si>
  <si>
    <t>label</t>
  </si>
  <si>
    <t>基準年</t>
  </si>
  <si>
    <t>total</t>
  </si>
  <si>
    <t>diff</t>
  </si>
  <si>
    <t>電化</t>
  </si>
  <si>
    <t>省エネ</t>
  </si>
  <si>
    <t>水素・合成_燃料化</t>
  </si>
  <si>
    <t>需要_変化</t>
  </si>
  <si>
    <t>政府目標_2035</t>
  </si>
  <si>
    <t>1.5CRM_2035</t>
  </si>
  <si>
    <t>石炭・石油_→ガス</t>
  </si>
  <si>
    <t>電力_脱炭素化</t>
  </si>
  <si>
    <t>label_EN</t>
  </si>
  <si>
    <t>Electrification</t>
  </si>
  <si>
    <t>H2/e-fuel</t>
  </si>
  <si>
    <t>Energy_Saving</t>
  </si>
  <si>
    <t>Demand_Change</t>
  </si>
  <si>
    <t>Coal/Oil_→Gas</t>
  </si>
  <si>
    <t>Electricity_Decarbonize</t>
  </si>
  <si>
    <t>Stated_Policy_2035</t>
  </si>
  <si>
    <t>Base_Year</t>
  </si>
  <si>
    <t>Electri-_fication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</si>
</sst>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B0BE-7B9F-0040-8844-3F847AB7BEF6}">
  <dimension ref="A1:H12"/>
  <sheetViews>
    <sheetView workbookViewId="0">
      <selection activeCell="D5" sqref="D5"/>
    </sheetView>
  </sheetViews>
  <sheetFormatPr baseColWidth="10" defaultRowHeight="18" x14ac:dyDescent="0.25"/>
  <cols>
    <col min="1" max="16384" width="10.83203125" style="1"/>
  </cols>
  <sheetData>
    <row r="1" spans="1:8" x14ac:dyDescent="0.25">
      <c r="A1" s="1" t="s">
        <v>0</v>
      </c>
      <c r="B1" s="1" t="s">
        <v>6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16</v>
      </c>
    </row>
    <row r="2" spans="1:8" x14ac:dyDescent="0.25">
      <c r="A2" s="1">
        <v>1</v>
      </c>
      <c r="B2" s="1">
        <v>1437.0511640009677</v>
      </c>
      <c r="D2" s="1">
        <v>0</v>
      </c>
      <c r="E2" s="1">
        <f>B2</f>
        <v>1437.0511640009677</v>
      </c>
      <c r="F2" s="1">
        <v>0</v>
      </c>
      <c r="G2" s="1" t="s">
        <v>5</v>
      </c>
      <c r="H2" s="1" t="s">
        <v>24</v>
      </c>
    </row>
    <row r="3" spans="1:8" x14ac:dyDescent="0.25">
      <c r="A3" s="1">
        <v>2</v>
      </c>
      <c r="C3" s="1">
        <v>-101.02637085533568</v>
      </c>
      <c r="D3" s="1">
        <f>E2+C3</f>
        <v>1336.024793145632</v>
      </c>
      <c r="E3" s="1">
        <f>-C3</f>
        <v>101.02637085533568</v>
      </c>
      <c r="F3" s="1">
        <v>1</v>
      </c>
      <c r="G3" s="1" t="s">
        <v>8</v>
      </c>
      <c r="H3" s="1" t="s">
        <v>17</v>
      </c>
    </row>
    <row r="4" spans="1:8" x14ac:dyDescent="0.25">
      <c r="A4" s="1">
        <v>3</v>
      </c>
      <c r="C4" s="1">
        <v>-166.94679162931953</v>
      </c>
      <c r="D4" s="1">
        <f>D3+C4</f>
        <v>1169.0780015163125</v>
      </c>
      <c r="E4" s="1">
        <f>-C4</f>
        <v>166.94679162931953</v>
      </c>
      <c r="F4" s="1">
        <v>1</v>
      </c>
      <c r="G4" s="1" t="s">
        <v>9</v>
      </c>
      <c r="H4" s="1" t="s">
        <v>19</v>
      </c>
    </row>
    <row r="5" spans="1:8" x14ac:dyDescent="0.25">
      <c r="A5" s="1">
        <v>4</v>
      </c>
      <c r="C5" s="1">
        <v>-1.8828557188851116</v>
      </c>
      <c r="D5" s="1">
        <f>D4+C5</f>
        <v>1167.1951457974274</v>
      </c>
      <c r="E5" s="1">
        <f>-C5</f>
        <v>1.8828557188851116</v>
      </c>
      <c r="F5" s="1">
        <v>1</v>
      </c>
      <c r="G5" s="1" t="s">
        <v>10</v>
      </c>
      <c r="H5" s="1" t="s">
        <v>18</v>
      </c>
    </row>
    <row r="6" spans="1:8" x14ac:dyDescent="0.25">
      <c r="A6" s="1">
        <v>5</v>
      </c>
      <c r="C6" s="1">
        <v>128.10365353634168</v>
      </c>
      <c r="D6" s="1">
        <f>D5</f>
        <v>1167.1951457974274</v>
      </c>
      <c r="E6" s="1">
        <f>C6</f>
        <v>128.10365353634168</v>
      </c>
      <c r="F6" s="1">
        <v>2</v>
      </c>
      <c r="G6" s="1" t="s">
        <v>11</v>
      </c>
      <c r="H6" s="1" t="s">
        <v>20</v>
      </c>
    </row>
    <row r="7" spans="1:8" x14ac:dyDescent="0.25">
      <c r="A7" s="1">
        <v>6</v>
      </c>
      <c r="B7" s="1">
        <f>D6+E6</f>
        <v>1295.298799333769</v>
      </c>
      <c r="D7" s="1">
        <v>0</v>
      </c>
      <c r="E7" s="1">
        <f>B7</f>
        <v>1295.298799333769</v>
      </c>
      <c r="F7" s="1">
        <v>0</v>
      </c>
      <c r="G7" s="1" t="s">
        <v>12</v>
      </c>
      <c r="H7" s="1" t="s">
        <v>23</v>
      </c>
    </row>
    <row r="8" spans="1:8" x14ac:dyDescent="0.25">
      <c r="A8" s="1">
        <v>7</v>
      </c>
      <c r="C8" s="1">
        <v>-90.902975088031269</v>
      </c>
      <c r="D8" s="1">
        <f>E7+C8</f>
        <v>1204.3958242457377</v>
      </c>
      <c r="E8" s="1">
        <f>-C8</f>
        <v>90.902975088031269</v>
      </c>
      <c r="F8" s="1">
        <v>1</v>
      </c>
      <c r="G8" s="1" t="s">
        <v>8</v>
      </c>
      <c r="H8" s="1" t="s">
        <v>17</v>
      </c>
    </row>
    <row r="9" spans="1:8" x14ac:dyDescent="0.25">
      <c r="A9" s="1">
        <v>8</v>
      </c>
      <c r="C9" s="1">
        <v>-19.490742925708336</v>
      </c>
      <c r="D9" s="1">
        <f>D8+C9</f>
        <v>1184.9050813200292</v>
      </c>
      <c r="E9" s="1">
        <f>-C9</f>
        <v>19.490742925708336</v>
      </c>
      <c r="F9" s="1">
        <v>1</v>
      </c>
      <c r="G9" s="1" t="s">
        <v>9</v>
      </c>
      <c r="H9" s="1" t="s">
        <v>19</v>
      </c>
    </row>
    <row r="10" spans="1:8" x14ac:dyDescent="0.25">
      <c r="A10" s="1">
        <v>9</v>
      </c>
      <c r="C10" s="1">
        <v>-0.98659870759843693</v>
      </c>
      <c r="D10" s="1">
        <f>D9+C10</f>
        <v>1183.9184826124308</v>
      </c>
      <c r="E10" s="1">
        <f>-C10</f>
        <v>0.98659870759843693</v>
      </c>
      <c r="F10" s="1">
        <v>1</v>
      </c>
      <c r="G10" s="1" t="s">
        <v>10</v>
      </c>
      <c r="H10" s="1" t="s">
        <v>18</v>
      </c>
    </row>
    <row r="11" spans="1:8" x14ac:dyDescent="0.25">
      <c r="A11" s="1">
        <v>10</v>
      </c>
      <c r="C11" s="1">
        <v>-104.84535530796363</v>
      </c>
      <c r="D11" s="1">
        <f>D10+C11</f>
        <v>1079.0731273044671</v>
      </c>
      <c r="E11" s="1">
        <f>-C11</f>
        <v>104.84535530796363</v>
      </c>
      <c r="F11" s="1">
        <v>1</v>
      </c>
      <c r="G11" s="1" t="s">
        <v>11</v>
      </c>
      <c r="H11" s="1" t="s">
        <v>20</v>
      </c>
    </row>
    <row r="12" spans="1:8" x14ac:dyDescent="0.25">
      <c r="A12" s="1">
        <v>11</v>
      </c>
      <c r="B12" s="1">
        <f>D11</f>
        <v>1079.0731273044671</v>
      </c>
      <c r="D12" s="1">
        <v>0</v>
      </c>
      <c r="E12" s="1">
        <f>B12</f>
        <v>1079.0731273044671</v>
      </c>
      <c r="F12" s="1">
        <v>0</v>
      </c>
      <c r="G12" s="1" t="s">
        <v>13</v>
      </c>
      <c r="H12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BB7B-C4F4-B743-BE4C-EFCDE6EBA628}">
  <dimension ref="A1:H16"/>
  <sheetViews>
    <sheetView tabSelected="1" workbookViewId="0">
      <selection activeCell="H12" sqref="H12"/>
    </sheetView>
  </sheetViews>
  <sheetFormatPr baseColWidth="10" defaultRowHeight="18" x14ac:dyDescent="0.25"/>
  <cols>
    <col min="1" max="16384" width="10.83203125" style="1"/>
  </cols>
  <sheetData>
    <row r="1" spans="1:8" x14ac:dyDescent="0.25">
      <c r="A1" s="1" t="s">
        <v>0</v>
      </c>
      <c r="B1" s="1" t="s">
        <v>6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16</v>
      </c>
    </row>
    <row r="2" spans="1:8" x14ac:dyDescent="0.25">
      <c r="A2" s="1">
        <v>1</v>
      </c>
      <c r="B2" s="1">
        <v>148.94194339778272</v>
      </c>
      <c r="D2" s="1">
        <v>0</v>
      </c>
      <c r="E2" s="1">
        <f>B2</f>
        <v>148.94194339778272</v>
      </c>
      <c r="F2" s="1">
        <v>0</v>
      </c>
      <c r="G2" s="1" t="s">
        <v>5</v>
      </c>
      <c r="H2" s="1" t="s">
        <v>24</v>
      </c>
    </row>
    <row r="3" spans="1:8" x14ac:dyDescent="0.25">
      <c r="A3" s="1">
        <v>2</v>
      </c>
      <c r="C3" s="1">
        <v>-3.5632203716565294</v>
      </c>
      <c r="D3" s="1">
        <f>E2+C3</f>
        <v>145.37872302612618</v>
      </c>
      <c r="E3" s="1">
        <f>-C3</f>
        <v>3.5632203716565294</v>
      </c>
      <c r="F3" s="1">
        <v>1</v>
      </c>
      <c r="G3" s="1" t="s">
        <v>8</v>
      </c>
      <c r="H3" s="1" t="s">
        <v>25</v>
      </c>
    </row>
    <row r="4" spans="1:8" x14ac:dyDescent="0.25">
      <c r="A4" s="1">
        <v>3</v>
      </c>
      <c r="C4" s="1">
        <v>-21.977197599045379</v>
      </c>
      <c r="D4" s="1">
        <f>D3+C4</f>
        <v>123.4015254270808</v>
      </c>
      <c r="E4" s="1">
        <f>-C4</f>
        <v>21.977197599045379</v>
      </c>
      <c r="F4" s="1">
        <v>1</v>
      </c>
      <c r="G4" s="1" t="s">
        <v>9</v>
      </c>
      <c r="H4" s="1" t="s">
        <v>19</v>
      </c>
    </row>
    <row r="5" spans="1:8" x14ac:dyDescent="0.25">
      <c r="A5" s="1">
        <v>4</v>
      </c>
      <c r="C5" s="1">
        <v>-1.1224055750098336</v>
      </c>
      <c r="D5" s="1">
        <f>D4+C5</f>
        <v>122.27911985207096</v>
      </c>
      <c r="E5" s="1">
        <f>-C5</f>
        <v>1.1224055750098336</v>
      </c>
      <c r="F5" s="1">
        <v>1</v>
      </c>
      <c r="G5" s="1" t="s">
        <v>10</v>
      </c>
      <c r="H5" s="1" t="s">
        <v>18</v>
      </c>
    </row>
    <row r="6" spans="1:8" x14ac:dyDescent="0.25">
      <c r="A6" s="1">
        <v>5</v>
      </c>
      <c r="C6" s="1">
        <v>14.06921898963313</v>
      </c>
      <c r="D6" s="1">
        <f>D5</f>
        <v>122.27911985207096</v>
      </c>
      <c r="E6" s="1">
        <f>C6</f>
        <v>14.06921898963313</v>
      </c>
      <c r="F6" s="1">
        <v>2</v>
      </c>
      <c r="G6" s="1" t="s">
        <v>11</v>
      </c>
      <c r="H6" s="1" t="s">
        <v>20</v>
      </c>
    </row>
    <row r="7" spans="1:8" x14ac:dyDescent="0.25">
      <c r="A7" s="1">
        <v>6</v>
      </c>
      <c r="C7" s="1">
        <v>-0.7084400209244841</v>
      </c>
      <c r="D7" s="1">
        <f>D6+C6+C7</f>
        <v>135.63989882077962</v>
      </c>
      <c r="E7" s="1">
        <f>-C7</f>
        <v>0.7084400209244841</v>
      </c>
      <c r="F7" s="1">
        <v>1</v>
      </c>
      <c r="G7" s="1" t="s">
        <v>14</v>
      </c>
      <c r="H7" s="1" t="s">
        <v>21</v>
      </c>
    </row>
    <row r="8" spans="1:8" x14ac:dyDescent="0.25">
      <c r="A8" s="1">
        <v>7</v>
      </c>
      <c r="C8" s="1">
        <v>-85.989466025452515</v>
      </c>
      <c r="D8" s="1">
        <f>D7+C8</f>
        <v>49.650432795327106</v>
      </c>
      <c r="E8" s="1">
        <f>-C8</f>
        <v>85.989466025452515</v>
      </c>
      <c r="F8" s="1">
        <v>1</v>
      </c>
      <c r="G8" s="1" t="s">
        <v>15</v>
      </c>
      <c r="H8" s="1" t="s">
        <v>22</v>
      </c>
    </row>
    <row r="9" spans="1:8" x14ac:dyDescent="0.25">
      <c r="A9" s="1">
        <v>8</v>
      </c>
      <c r="B9" s="1">
        <v>49.650432795327106</v>
      </c>
      <c r="D9" s="1">
        <v>0</v>
      </c>
      <c r="E9" s="1">
        <f>B9</f>
        <v>49.650432795327106</v>
      </c>
      <c r="F9" s="1">
        <v>0</v>
      </c>
      <c r="G9" s="1" t="s">
        <v>12</v>
      </c>
      <c r="H9" s="1" t="s">
        <v>23</v>
      </c>
    </row>
    <row r="10" spans="1:8" x14ac:dyDescent="0.25">
      <c r="A10" s="1">
        <v>9</v>
      </c>
      <c r="C10" s="1">
        <v>-4.8359929150397578</v>
      </c>
      <c r="D10" s="1">
        <f>E9+C10</f>
        <v>44.814439880287345</v>
      </c>
      <c r="E10" s="1">
        <f t="shared" ref="E10:E15" si="0">-C10</f>
        <v>4.8359929150397578</v>
      </c>
      <c r="F10" s="1">
        <v>1</v>
      </c>
      <c r="G10" s="1" t="s">
        <v>8</v>
      </c>
      <c r="H10" s="1" t="s">
        <v>25</v>
      </c>
    </row>
    <row r="11" spans="1:8" x14ac:dyDescent="0.25">
      <c r="A11" s="1">
        <v>10</v>
      </c>
      <c r="C11" s="1">
        <v>-0.56959562058572799</v>
      </c>
      <c r="D11" s="1">
        <f>D10+C11</f>
        <v>44.244844259701615</v>
      </c>
      <c r="E11" s="1">
        <f t="shared" si="0"/>
        <v>0.56959562058572799</v>
      </c>
      <c r="F11" s="1">
        <v>1</v>
      </c>
      <c r="G11" s="1" t="s">
        <v>9</v>
      </c>
      <c r="H11" s="1" t="s">
        <v>19</v>
      </c>
    </row>
    <row r="12" spans="1:8" x14ac:dyDescent="0.25">
      <c r="A12" s="1">
        <v>11</v>
      </c>
      <c r="C12" s="1">
        <v>-2.4837176859547592</v>
      </c>
      <c r="D12" s="1">
        <f>D11+C12</f>
        <v>41.761126573746857</v>
      </c>
      <c r="E12" s="1">
        <f t="shared" si="0"/>
        <v>2.4837176859547592</v>
      </c>
      <c r="F12" s="1">
        <v>1</v>
      </c>
      <c r="G12" s="1" t="s">
        <v>10</v>
      </c>
      <c r="H12" s="1" t="s">
        <v>18</v>
      </c>
    </row>
    <row r="13" spans="1:8" x14ac:dyDescent="0.25">
      <c r="A13" s="1">
        <v>12</v>
      </c>
      <c r="C13" s="1">
        <v>-4.515151767260285</v>
      </c>
      <c r="D13" s="1">
        <f>D12+C13</f>
        <v>37.245974806486572</v>
      </c>
      <c r="E13" s="1">
        <f t="shared" si="0"/>
        <v>4.515151767260285</v>
      </c>
      <c r="F13" s="1">
        <v>1</v>
      </c>
      <c r="G13" s="1" t="s">
        <v>11</v>
      </c>
      <c r="H13" s="1" t="s">
        <v>20</v>
      </c>
    </row>
    <row r="14" spans="1:8" x14ac:dyDescent="0.25">
      <c r="A14" s="1">
        <v>13</v>
      </c>
      <c r="C14" s="1">
        <v>-1.1860963322238489</v>
      </c>
      <c r="D14" s="1">
        <f>D13+C14</f>
        <v>36.059878474262725</v>
      </c>
      <c r="E14" s="1">
        <f t="shared" si="0"/>
        <v>1.1860963322238489</v>
      </c>
      <c r="F14" s="1">
        <v>1</v>
      </c>
      <c r="G14" s="1" t="s">
        <v>14</v>
      </c>
      <c r="H14" s="1" t="s">
        <v>21</v>
      </c>
    </row>
    <row r="15" spans="1:8" x14ac:dyDescent="0.25">
      <c r="A15" s="1">
        <v>14</v>
      </c>
      <c r="C15" s="1">
        <v>-15.05603668498517</v>
      </c>
      <c r="D15" s="1">
        <f>D14+C15</f>
        <v>21.003841789277555</v>
      </c>
      <c r="E15" s="1">
        <f t="shared" si="0"/>
        <v>15.05603668498517</v>
      </c>
      <c r="F15" s="1">
        <v>1</v>
      </c>
      <c r="G15" s="1" t="s">
        <v>15</v>
      </c>
      <c r="H15" s="1" t="s">
        <v>22</v>
      </c>
    </row>
    <row r="16" spans="1:8" x14ac:dyDescent="0.25">
      <c r="A16" s="1">
        <v>15</v>
      </c>
      <c r="B16" s="1">
        <v>21.003841789277558</v>
      </c>
      <c r="D16" s="1">
        <v>0</v>
      </c>
      <c r="E16" s="1">
        <f>B16</f>
        <v>21.003841789277558</v>
      </c>
      <c r="F16" s="1">
        <v>0</v>
      </c>
      <c r="G16" s="1" t="s">
        <v>13</v>
      </c>
      <c r="H16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</vt:lpstr>
      <vt:lpstr>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2026-01-13T09:11:05Z</dcterms:created>
  <dcterms:modified xsi:type="dcterms:W3CDTF">2026-01-15T08:21:17Z</dcterms:modified>
</cp:coreProperties>
</file>