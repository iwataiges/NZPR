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WF/"/>
    </mc:Choice>
  </mc:AlternateContent>
  <xr:revisionPtr revIDLastSave="0" documentId="13_ncr:1_{05074D11-3AE8-0742-BA78-720EFEF8092C}" xr6:coauthVersionLast="47" xr6:coauthVersionMax="47" xr10:uidLastSave="{00000000-0000-0000-0000-000000000000}"/>
  <bookViews>
    <workbookView xWindow="29680" yWindow="22880" windowWidth="27640" windowHeight="16940" xr2:uid="{D5A5BE00-7A0D-F84C-9DE8-B5228E1EA2B6}"/>
  </bookViews>
  <sheets>
    <sheet name="energy" sheetId="1" r:id="rId1"/>
    <sheet name="c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E3" i="2"/>
  <c r="E11" i="1"/>
  <c r="D10" i="2"/>
  <c r="E9" i="2"/>
  <c r="D9" i="2"/>
  <c r="E14" i="2"/>
  <c r="E8" i="2"/>
  <c r="E7" i="2"/>
  <c r="E4" i="1" l="1"/>
  <c r="E3" i="1"/>
  <c r="E13" i="2"/>
  <c r="E12" i="2"/>
  <c r="E11" i="2"/>
  <c r="E10" i="2"/>
  <c r="D11" i="2"/>
  <c r="D12" i="2" s="1"/>
  <c r="D13" i="2" s="1"/>
  <c r="E6" i="2"/>
  <c r="E5" i="2"/>
  <c r="E4" i="2"/>
  <c r="E2" i="2" l="1"/>
  <c r="D5" i="2" s="1"/>
  <c r="D6" i="2" s="1"/>
  <c r="D7" i="2" s="1"/>
  <c r="E10" i="1"/>
  <c r="E9" i="1"/>
  <c r="E8" i="1"/>
  <c r="E7" i="1"/>
  <c r="D8" i="1" s="1"/>
  <c r="D9" i="1" s="1"/>
  <c r="D10" i="1" s="1"/>
  <c r="E6" i="1"/>
  <c r="E5" i="1"/>
  <c r="E2" i="1"/>
  <c r="D3" i="1" l="1"/>
  <c r="D4" i="1" s="1"/>
  <c r="D5" i="1" s="1"/>
  <c r="D6" i="1" s="1"/>
</calcChain>
</file>

<file path=xl/sharedStrings.xml><?xml version="1.0" encoding="utf-8"?>
<sst xmlns="http://schemas.openxmlformats.org/spreadsheetml/2006/main" count="62" uniqueCount="29">
  <si>
    <t>x</t>
  </si>
  <si>
    <t>total</t>
  </si>
  <si>
    <t>diff</t>
  </si>
  <si>
    <t>base</t>
  </si>
  <si>
    <t>v</t>
  </si>
  <si>
    <t>color</t>
  </si>
  <si>
    <t>label</t>
  </si>
  <si>
    <t>label_EN</t>
  </si>
  <si>
    <t>基準年</t>
  </si>
  <si>
    <t>Base_Year</t>
  </si>
  <si>
    <t>政府目標_2035</t>
  </si>
  <si>
    <t>Stated_Policy_2035</t>
  </si>
  <si>
    <t>1.5CRM_2035</t>
  </si>
  <si>
    <t>Electricity_Decarbonize</t>
  </si>
  <si>
    <t>産業構造</t>
  </si>
  <si>
    <t>Industry_Shift</t>
  </si>
  <si>
    <t>Building_Insulation</t>
  </si>
  <si>
    <t>ヒートポンプ</t>
  </si>
  <si>
    <t>その他機器</t>
  </si>
  <si>
    <t>Other_Electrification</t>
  </si>
  <si>
    <t>Heatpump</t>
  </si>
  <si>
    <t>その他電化</t>
  </si>
  <si>
    <t>Oil_to_Gas</t>
  </si>
  <si>
    <t>産業_構造</t>
  </si>
  <si>
    <t>建物_断熱性能</t>
  </si>
  <si>
    <t>その他_機器</t>
  </si>
  <si>
    <t>電力_脱炭素化</t>
  </si>
  <si>
    <t>その他_電化</t>
  </si>
  <si>
    <t>ガス_転換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</si>
</sst>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  <font>
      <sz val="12"/>
      <color rgb="FF00000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7918-E4AA-E944-A9AE-CA90ED173E57}">
  <dimension ref="A1:H11"/>
  <sheetViews>
    <sheetView tabSelected="1" workbookViewId="0">
      <selection activeCell="F7" sqref="F7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2097825.5506110745</v>
      </c>
      <c r="D2" s="1">
        <v>0</v>
      </c>
      <c r="E2" s="1">
        <f>B2</f>
        <v>2097825.5506110745</v>
      </c>
      <c r="F2" s="1">
        <v>0</v>
      </c>
      <c r="G2" s="1" t="s">
        <v>8</v>
      </c>
      <c r="H2" s="1" t="s">
        <v>9</v>
      </c>
    </row>
    <row r="3" spans="1:8" x14ac:dyDescent="0.25">
      <c r="A3" s="1">
        <v>2</v>
      </c>
      <c r="C3" s="1">
        <v>82452.008826142337</v>
      </c>
      <c r="D3" s="1">
        <f>E2</f>
        <v>2097825.5506110745</v>
      </c>
      <c r="E3" s="1">
        <f>C3</f>
        <v>82452.008826142337</v>
      </c>
      <c r="F3" s="1">
        <v>2</v>
      </c>
      <c r="G3" s="1" t="s">
        <v>14</v>
      </c>
      <c r="H3" s="1" t="s">
        <v>15</v>
      </c>
    </row>
    <row r="4" spans="1:8" x14ac:dyDescent="0.25">
      <c r="A4" s="1">
        <v>3</v>
      </c>
      <c r="C4" s="1">
        <v>-287508.082031734</v>
      </c>
      <c r="D4" s="1">
        <f>D3+E3+C4</f>
        <v>1892769.4774054827</v>
      </c>
      <c r="E4" s="1">
        <f>-C4</f>
        <v>287508.082031734</v>
      </c>
      <c r="F4" s="1">
        <v>1</v>
      </c>
      <c r="G4" s="1" t="s">
        <v>24</v>
      </c>
      <c r="H4" s="1" t="s">
        <v>16</v>
      </c>
    </row>
    <row r="5" spans="1:8" x14ac:dyDescent="0.25">
      <c r="A5" s="1">
        <v>4</v>
      </c>
      <c r="C5" s="1">
        <v>-99257.611766462825</v>
      </c>
      <c r="D5" s="1">
        <f>D4+C5</f>
        <v>1793511.8656390198</v>
      </c>
      <c r="E5" s="1">
        <f>-C5</f>
        <v>99257.611766462825</v>
      </c>
      <c r="F5" s="1">
        <v>1</v>
      </c>
      <c r="G5" s="1" t="s">
        <v>17</v>
      </c>
      <c r="H5" s="1" t="s">
        <v>20</v>
      </c>
    </row>
    <row r="6" spans="1:8" x14ac:dyDescent="0.25">
      <c r="A6" s="1">
        <v>5</v>
      </c>
      <c r="C6" s="1">
        <v>-14827.184660770805</v>
      </c>
      <c r="D6" s="1">
        <f>D5+C6</f>
        <v>1778684.6809782491</v>
      </c>
      <c r="E6" s="1">
        <f>-C6</f>
        <v>14827.184660770805</v>
      </c>
      <c r="F6" s="1">
        <v>1</v>
      </c>
      <c r="G6" s="1" t="s">
        <v>18</v>
      </c>
      <c r="H6" s="1" t="s">
        <v>19</v>
      </c>
    </row>
    <row r="7" spans="1:8" x14ac:dyDescent="0.25">
      <c r="A7" s="1">
        <v>6</v>
      </c>
      <c r="B7" s="1">
        <v>1778684.6809782493</v>
      </c>
      <c r="D7" s="1">
        <v>0</v>
      </c>
      <c r="E7" s="1">
        <f>B7</f>
        <v>1778684.6809782493</v>
      </c>
      <c r="F7" s="1">
        <v>0</v>
      </c>
      <c r="G7" s="1" t="s">
        <v>10</v>
      </c>
      <c r="H7" s="1" t="s">
        <v>11</v>
      </c>
    </row>
    <row r="8" spans="1:8" x14ac:dyDescent="0.25">
      <c r="A8" s="1">
        <v>7</v>
      </c>
      <c r="C8" s="1">
        <v>-183654.20100899518</v>
      </c>
      <c r="D8" s="1">
        <f>E7+C8</f>
        <v>1595030.4799692542</v>
      </c>
      <c r="E8" s="1">
        <f>-C8</f>
        <v>183654.20100899518</v>
      </c>
      <c r="F8" s="1">
        <v>1</v>
      </c>
      <c r="G8" s="1" t="s">
        <v>14</v>
      </c>
      <c r="H8" s="1" t="s">
        <v>15</v>
      </c>
    </row>
    <row r="9" spans="1:8" x14ac:dyDescent="0.25">
      <c r="A9" s="1">
        <v>8</v>
      </c>
      <c r="C9" s="1">
        <v>-88786.565521476194</v>
      </c>
      <c r="D9" s="1">
        <f>D8+C9</f>
        <v>1506243.9144477781</v>
      </c>
      <c r="E9" s="1">
        <f>-C9</f>
        <v>88786.565521476194</v>
      </c>
      <c r="F9" s="1">
        <v>1</v>
      </c>
      <c r="G9" s="1" t="s">
        <v>17</v>
      </c>
      <c r="H9" s="1" t="s">
        <v>20</v>
      </c>
    </row>
    <row r="10" spans="1:8" x14ac:dyDescent="0.25">
      <c r="A10" s="1">
        <v>9</v>
      </c>
      <c r="C10" s="1">
        <v>-51362.012006138466</v>
      </c>
      <c r="D10" s="1">
        <f>D9+C10</f>
        <v>1454881.9024416397</v>
      </c>
      <c r="E10" s="1">
        <f>-C10</f>
        <v>51362.012006138466</v>
      </c>
      <c r="F10" s="1">
        <v>1</v>
      </c>
      <c r="G10" s="1" t="s">
        <v>21</v>
      </c>
      <c r="H10" s="1" t="s">
        <v>19</v>
      </c>
    </row>
    <row r="11" spans="1:8" x14ac:dyDescent="0.25">
      <c r="A11" s="1">
        <v>10</v>
      </c>
      <c r="B11" s="1">
        <v>1454881.9024416395</v>
      </c>
      <c r="D11" s="1">
        <v>0</v>
      </c>
      <c r="E11" s="1">
        <f>B11</f>
        <v>1454881.9024416395</v>
      </c>
      <c r="F11" s="2">
        <v>0</v>
      </c>
      <c r="G11" s="2" t="s">
        <v>12</v>
      </c>
      <c r="H1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40D2-6E2D-1742-96AC-DF77E3DA975A}">
  <dimension ref="A1:H14"/>
  <sheetViews>
    <sheetView workbookViewId="0">
      <selection activeCell="G14" sqref="G14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233.07565001492046</v>
      </c>
      <c r="D2" s="1">
        <v>0</v>
      </c>
      <c r="E2" s="1">
        <f>B2</f>
        <v>233.07565001492046</v>
      </c>
      <c r="F2" s="1">
        <v>0</v>
      </c>
      <c r="G2" s="1" t="s">
        <v>8</v>
      </c>
      <c r="H2" s="1" t="s">
        <v>9</v>
      </c>
    </row>
    <row r="3" spans="1:8" x14ac:dyDescent="0.25">
      <c r="A3" s="1">
        <v>2</v>
      </c>
      <c r="C3" s="1">
        <v>10.294303129710286</v>
      </c>
      <c r="D3" s="1">
        <f>E2</f>
        <v>233.07565001492046</v>
      </c>
      <c r="E3" s="1">
        <f>C3</f>
        <v>10.294303129710286</v>
      </c>
      <c r="F3" s="1">
        <v>2</v>
      </c>
      <c r="G3" s="1" t="s">
        <v>23</v>
      </c>
      <c r="H3" s="1" t="s">
        <v>15</v>
      </c>
    </row>
    <row r="4" spans="1:8" x14ac:dyDescent="0.25">
      <c r="A4" s="1">
        <v>3</v>
      </c>
      <c r="C4" s="1">
        <v>-35.785846615831026</v>
      </c>
      <c r="D4" s="1">
        <f>D3+C4+E3</f>
        <v>207.58410652879974</v>
      </c>
      <c r="E4" s="1">
        <f>-C4</f>
        <v>35.785846615831026</v>
      </c>
      <c r="F4" s="1">
        <v>1</v>
      </c>
      <c r="G4" s="1" t="s">
        <v>24</v>
      </c>
      <c r="H4" s="1" t="s">
        <v>16</v>
      </c>
    </row>
    <row r="5" spans="1:8" x14ac:dyDescent="0.25">
      <c r="A5" s="1">
        <v>4</v>
      </c>
      <c r="C5" s="1">
        <v>-6.2507236755787412</v>
      </c>
      <c r="D5" s="1">
        <f t="shared" ref="D5:D7" si="0">D4+C5</f>
        <v>201.333382853221</v>
      </c>
      <c r="E5" s="1">
        <f t="shared" ref="E5:E7" si="1">-C5</f>
        <v>6.2507236755787412</v>
      </c>
      <c r="F5" s="1">
        <v>1</v>
      </c>
      <c r="G5" s="1" t="s">
        <v>17</v>
      </c>
      <c r="H5" s="1" t="s">
        <v>20</v>
      </c>
    </row>
    <row r="6" spans="1:8" x14ac:dyDescent="0.25">
      <c r="A6" s="1">
        <v>5</v>
      </c>
      <c r="C6" s="1">
        <v>-0.72658067444771102</v>
      </c>
      <c r="D6" s="1">
        <f t="shared" si="0"/>
        <v>200.60680217877328</v>
      </c>
      <c r="E6" s="1">
        <f t="shared" si="1"/>
        <v>0.72658067444771102</v>
      </c>
      <c r="F6" s="1">
        <v>1</v>
      </c>
      <c r="G6" s="1" t="s">
        <v>25</v>
      </c>
      <c r="H6" s="1" t="s">
        <v>19</v>
      </c>
    </row>
    <row r="7" spans="1:8" x14ac:dyDescent="0.25">
      <c r="A7" s="1">
        <v>6</v>
      </c>
      <c r="C7" s="1">
        <v>-117.74008373072164</v>
      </c>
      <c r="D7" s="1">
        <f t="shared" si="0"/>
        <v>82.866718448051643</v>
      </c>
      <c r="E7" s="1">
        <f t="shared" si="1"/>
        <v>117.74008373072164</v>
      </c>
      <c r="F7" s="1">
        <v>1</v>
      </c>
      <c r="G7" s="1" t="s">
        <v>26</v>
      </c>
      <c r="H7" s="1" t="s">
        <v>13</v>
      </c>
    </row>
    <row r="8" spans="1:8" x14ac:dyDescent="0.25">
      <c r="A8" s="1">
        <v>7</v>
      </c>
      <c r="B8" s="1">
        <v>82.866718448051628</v>
      </c>
      <c r="D8" s="1">
        <v>0</v>
      </c>
      <c r="E8" s="1">
        <f>B8</f>
        <v>82.866718448051628</v>
      </c>
      <c r="F8" s="1">
        <v>0</v>
      </c>
      <c r="G8" s="1" t="s">
        <v>10</v>
      </c>
      <c r="H8" s="1" t="s">
        <v>11</v>
      </c>
    </row>
    <row r="9" spans="1:8" x14ac:dyDescent="0.25">
      <c r="A9" s="1">
        <v>8</v>
      </c>
      <c r="C9" s="1">
        <v>-5.4212894876465931</v>
      </c>
      <c r="D9" s="1">
        <f>E8+C9</f>
        <v>77.445428960405039</v>
      </c>
      <c r="E9" s="1">
        <f>-C9</f>
        <v>5.4212894876465931</v>
      </c>
      <c r="F9" s="1">
        <v>1</v>
      </c>
      <c r="G9" s="1" t="s">
        <v>23</v>
      </c>
      <c r="H9" s="1" t="s">
        <v>15</v>
      </c>
    </row>
    <row r="10" spans="1:8" x14ac:dyDescent="0.25">
      <c r="A10" s="1">
        <v>9</v>
      </c>
      <c r="C10" s="1">
        <v>-9.6581729873285855</v>
      </c>
      <c r="D10" s="1">
        <f>D9+C10</f>
        <v>67.787255973076455</v>
      </c>
      <c r="E10" s="1">
        <f>-C10</f>
        <v>9.6581729873285855</v>
      </c>
      <c r="F10" s="1">
        <v>1</v>
      </c>
      <c r="G10" s="1" t="s">
        <v>17</v>
      </c>
      <c r="H10" s="1" t="s">
        <v>20</v>
      </c>
    </row>
    <row r="11" spans="1:8" x14ac:dyDescent="0.25">
      <c r="A11" s="1">
        <v>10</v>
      </c>
      <c r="C11" s="1">
        <v>-5.0594707859535397</v>
      </c>
      <c r="D11" s="1">
        <f>D10+C11</f>
        <v>62.727785187122919</v>
      </c>
      <c r="E11" s="1">
        <f>-C11</f>
        <v>5.0594707859535397</v>
      </c>
      <c r="F11" s="1">
        <v>1</v>
      </c>
      <c r="G11" s="1" t="s">
        <v>27</v>
      </c>
      <c r="H11" s="1" t="s">
        <v>19</v>
      </c>
    </row>
    <row r="12" spans="1:8" x14ac:dyDescent="0.25">
      <c r="A12" s="1">
        <v>11</v>
      </c>
      <c r="C12" s="1">
        <v>-3.668655531520034</v>
      </c>
      <c r="D12" s="1">
        <f t="shared" ref="D12:D13" si="2">D11+C12</f>
        <v>59.059129655602888</v>
      </c>
      <c r="E12" s="1">
        <f t="shared" ref="E12:E13" si="3">-C12</f>
        <v>3.668655531520034</v>
      </c>
      <c r="F12" s="1">
        <v>1</v>
      </c>
      <c r="G12" s="1" t="s">
        <v>28</v>
      </c>
      <c r="H12" s="1" t="s">
        <v>22</v>
      </c>
    </row>
    <row r="13" spans="1:8" x14ac:dyDescent="0.25">
      <c r="A13" s="1">
        <v>12</v>
      </c>
      <c r="C13" s="1">
        <v>-23.830480209167916</v>
      </c>
      <c r="D13" s="1">
        <f t="shared" si="2"/>
        <v>35.228649446434972</v>
      </c>
      <c r="E13" s="1">
        <f t="shared" si="3"/>
        <v>23.830480209167916</v>
      </c>
      <c r="F13" s="1">
        <v>1</v>
      </c>
      <c r="G13" s="1" t="s">
        <v>26</v>
      </c>
      <c r="H13" s="1" t="s">
        <v>13</v>
      </c>
    </row>
    <row r="14" spans="1:8" x14ac:dyDescent="0.25">
      <c r="A14" s="1">
        <v>13</v>
      </c>
      <c r="B14" s="1">
        <v>35.228649446434957</v>
      </c>
      <c r="D14" s="1">
        <v>0</v>
      </c>
      <c r="E14" s="1">
        <f>B14</f>
        <v>35.228649446434957</v>
      </c>
      <c r="F14" s="1">
        <v>0</v>
      </c>
      <c r="G14" s="1" t="s">
        <v>12</v>
      </c>
      <c r="H1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2026-01-16T06:47:11Z</dcterms:created>
  <dcterms:modified xsi:type="dcterms:W3CDTF">2026-01-20T06:00:06Z</dcterms:modified>
</cp:coreProperties>
</file>