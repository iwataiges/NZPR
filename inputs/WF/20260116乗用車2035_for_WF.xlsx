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60112/"/>
    </mc:Choice>
  </mc:AlternateContent>
  <xr:revisionPtr revIDLastSave="0" documentId="13_ncr:1_{DAD28CFC-E2E0-594B-BAE6-AAAF12B819BA}" xr6:coauthVersionLast="47" xr6:coauthVersionMax="47" xr10:uidLastSave="{00000000-0000-0000-0000-000000000000}"/>
  <bookViews>
    <workbookView xWindow="8480" yWindow="23500" windowWidth="27640" windowHeight="16940" xr2:uid="{D5A5BE00-7A0D-F84C-9DE8-B5228E1EA2B6}"/>
  </bookViews>
  <sheets>
    <sheet name="energy" sheetId="1" r:id="rId1"/>
    <sheet name="co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13" i="2"/>
  <c r="E12" i="2"/>
  <c r="E11" i="2"/>
  <c r="D11" i="2"/>
  <c r="D12" i="2" s="1"/>
  <c r="D13" i="2" s="1"/>
  <c r="E10" i="2"/>
  <c r="D10" i="2"/>
  <c r="E9" i="2"/>
  <c r="D9" i="2"/>
  <c r="E8" i="2"/>
  <c r="E7" i="2"/>
  <c r="E6" i="2"/>
  <c r="E5" i="2"/>
  <c r="D5" i="2"/>
  <c r="D6" i="2" s="1"/>
  <c r="D7" i="2" s="1"/>
  <c r="E4" i="2"/>
  <c r="D4" i="2"/>
  <c r="E3" i="2"/>
  <c r="D3" i="2"/>
  <c r="E2" i="2" l="1"/>
  <c r="E12" i="1"/>
  <c r="E11" i="1"/>
  <c r="D11" i="1"/>
  <c r="E10" i="1"/>
  <c r="D10" i="1"/>
  <c r="E9" i="1"/>
  <c r="D9" i="1"/>
  <c r="E8" i="1"/>
  <c r="D8" i="1"/>
  <c r="E7" i="1"/>
  <c r="E6" i="1"/>
  <c r="E5" i="1"/>
  <c r="D5" i="1"/>
  <c r="D6" i="1" s="1"/>
  <c r="E4" i="1"/>
  <c r="D4" i="1"/>
  <c r="E3" i="1"/>
  <c r="D3" i="1"/>
  <c r="E2" i="1"/>
</calcChain>
</file>

<file path=xl/sharedStrings.xml><?xml version="1.0" encoding="utf-8"?>
<sst xmlns="http://schemas.openxmlformats.org/spreadsheetml/2006/main" count="60" uniqueCount="23">
  <si>
    <t>x</t>
  </si>
  <si>
    <t>total</t>
  </si>
  <si>
    <t>diff</t>
  </si>
  <si>
    <t>base</t>
  </si>
  <si>
    <t>v</t>
  </si>
  <si>
    <t>color</t>
  </si>
  <si>
    <t>label</t>
  </si>
  <si>
    <t>label_EN</t>
  </si>
  <si>
    <t>基準年</t>
  </si>
  <si>
    <t>Base_Year</t>
  </si>
  <si>
    <t>Modal_Change</t>
  </si>
  <si>
    <t>車両軽量化</t>
  </si>
  <si>
    <t>Light_Weight</t>
  </si>
  <si>
    <t>車種変化</t>
  </si>
  <si>
    <t>Type_Change</t>
  </si>
  <si>
    <t>ガソリン車_燃費改善</t>
  </si>
  <si>
    <t>ICE_Efficiency</t>
  </si>
  <si>
    <t>政府目標_2035</t>
  </si>
  <si>
    <t>Stated_Policy_2035</t>
  </si>
  <si>
    <t>1.5CRM_2035</t>
  </si>
  <si>
    <t>電力_脱炭素化</t>
  </si>
  <si>
    <t>Electricity_Decarbonize</t>
  </si>
  <si>
    <t>モード_変化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</si>
</sst>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7918-E4AA-E944-A9AE-CA90ED173E57}">
  <dimension ref="A1:H12"/>
  <sheetViews>
    <sheetView tabSelected="1" workbookViewId="0">
      <selection activeCell="G9" sqref="G9"/>
    </sheetView>
  </sheetViews>
  <sheetFormatPr baseColWidth="10" defaultRowHeight="18" x14ac:dyDescent="0.25"/>
  <cols>
    <col min="1" max="16384" width="10.832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>
        <v>1439.4558953678156</v>
      </c>
      <c r="D2" s="1">
        <v>0</v>
      </c>
      <c r="E2" s="1">
        <f>B2</f>
        <v>1439.4558953678156</v>
      </c>
      <c r="F2" s="1">
        <v>0</v>
      </c>
      <c r="G2" s="1" t="s">
        <v>8</v>
      </c>
      <c r="H2" s="1" t="s">
        <v>9</v>
      </c>
    </row>
    <row r="3" spans="1:8" x14ac:dyDescent="0.25">
      <c r="A3" s="1">
        <v>2</v>
      </c>
      <c r="C3" s="1">
        <v>-112.30441855831126</v>
      </c>
      <c r="D3" s="1">
        <f>E2+C3</f>
        <v>1327.1514768095044</v>
      </c>
      <c r="E3" s="1">
        <f>-C3</f>
        <v>112.30441855831126</v>
      </c>
      <c r="F3" s="1">
        <v>1</v>
      </c>
      <c r="G3" s="1" t="s">
        <v>22</v>
      </c>
      <c r="H3" s="1" t="s">
        <v>10</v>
      </c>
    </row>
    <row r="4" spans="1:8" x14ac:dyDescent="0.25">
      <c r="A4" s="1">
        <v>3</v>
      </c>
      <c r="C4" s="1">
        <v>0</v>
      </c>
      <c r="D4" s="1">
        <f>D3+C4</f>
        <v>1327.1514768095044</v>
      </c>
      <c r="E4" s="1">
        <f>-C4</f>
        <v>0</v>
      </c>
      <c r="F4" s="1">
        <v>1</v>
      </c>
      <c r="G4" s="1" t="s">
        <v>11</v>
      </c>
      <c r="H4" s="1" t="s">
        <v>12</v>
      </c>
    </row>
    <row r="5" spans="1:8" x14ac:dyDescent="0.25">
      <c r="A5" s="1">
        <v>4</v>
      </c>
      <c r="C5" s="1">
        <v>-162.32399070523093</v>
      </c>
      <c r="D5" s="1">
        <f>D4+C5</f>
        <v>1164.8274861042735</v>
      </c>
      <c r="E5" s="1">
        <f>-C5</f>
        <v>162.32399070523093</v>
      </c>
      <c r="F5" s="1">
        <v>1</v>
      </c>
      <c r="G5" s="1" t="s">
        <v>13</v>
      </c>
      <c r="H5" s="1" t="s">
        <v>14</v>
      </c>
    </row>
    <row r="6" spans="1:8" x14ac:dyDescent="0.25">
      <c r="A6" s="1">
        <v>5</v>
      </c>
      <c r="C6" s="1">
        <v>-292.37552920452345</v>
      </c>
      <c r="D6" s="1">
        <f>D5+C6</f>
        <v>872.45195689975003</v>
      </c>
      <c r="E6" s="1">
        <f>-C6</f>
        <v>292.37552920452345</v>
      </c>
      <c r="F6" s="1">
        <v>1</v>
      </c>
      <c r="G6" s="1" t="s">
        <v>15</v>
      </c>
      <c r="H6" s="1" t="s">
        <v>16</v>
      </c>
    </row>
    <row r="7" spans="1:8" x14ac:dyDescent="0.25">
      <c r="A7" s="1">
        <v>6</v>
      </c>
      <c r="B7" s="1">
        <v>872.45195689975003</v>
      </c>
      <c r="D7" s="1">
        <v>0</v>
      </c>
      <c r="E7" s="1">
        <f>B7</f>
        <v>872.45195689975003</v>
      </c>
      <c r="F7" s="1">
        <v>0</v>
      </c>
      <c r="G7" s="1" t="s">
        <v>17</v>
      </c>
      <c r="H7" s="1" t="s">
        <v>18</v>
      </c>
    </row>
    <row r="8" spans="1:8" x14ac:dyDescent="0.25">
      <c r="A8" s="1">
        <v>7</v>
      </c>
      <c r="C8" s="1">
        <v>-35.526089378001807</v>
      </c>
      <c r="D8" s="1">
        <f>E7+C8</f>
        <v>836.92586752174827</v>
      </c>
      <c r="E8" s="1">
        <f>-C8</f>
        <v>35.526089378001807</v>
      </c>
      <c r="F8" s="1">
        <v>1</v>
      </c>
      <c r="G8" s="1" t="s">
        <v>22</v>
      </c>
    </row>
    <row r="9" spans="1:8" x14ac:dyDescent="0.25">
      <c r="A9" s="1">
        <v>8</v>
      </c>
      <c r="C9" s="1">
        <v>-135.22153276470269</v>
      </c>
      <c r="D9" s="1">
        <f>D8+C9</f>
        <v>701.70433475704556</v>
      </c>
      <c r="E9" s="1">
        <f>-C9</f>
        <v>135.22153276470269</v>
      </c>
      <c r="F9" s="1">
        <v>1</v>
      </c>
      <c r="G9" s="1" t="s">
        <v>11</v>
      </c>
    </row>
    <row r="10" spans="1:8" x14ac:dyDescent="0.25">
      <c r="A10" s="1">
        <v>9</v>
      </c>
      <c r="C10" s="1">
        <v>-81.733777632781468</v>
      </c>
      <c r="D10" s="1">
        <f>D9+C10</f>
        <v>619.97055712426413</v>
      </c>
      <c r="E10" s="1">
        <f>-C10</f>
        <v>81.733777632781468</v>
      </c>
      <c r="F10" s="1">
        <v>1</v>
      </c>
      <c r="G10" s="1" t="s">
        <v>13</v>
      </c>
    </row>
    <row r="11" spans="1:8" x14ac:dyDescent="0.25">
      <c r="A11" s="1">
        <v>10</v>
      </c>
      <c r="C11" s="1">
        <v>-22.090860251505017</v>
      </c>
      <c r="D11" s="1">
        <f>D10+C11</f>
        <v>597.87969687275915</v>
      </c>
      <c r="E11" s="1">
        <f>-C11</f>
        <v>22.090860251505017</v>
      </c>
      <c r="F11" s="1">
        <v>1</v>
      </c>
      <c r="G11" s="1" t="s">
        <v>15</v>
      </c>
    </row>
    <row r="12" spans="1:8" x14ac:dyDescent="0.25">
      <c r="A12" s="1">
        <v>11</v>
      </c>
      <c r="B12" s="1">
        <v>597.87969687275904</v>
      </c>
      <c r="D12" s="1">
        <v>0</v>
      </c>
      <c r="E12" s="1">
        <f>B12</f>
        <v>597.87969687275904</v>
      </c>
      <c r="F12" s="1">
        <v>0</v>
      </c>
      <c r="G12" s="1" t="s">
        <v>19</v>
      </c>
      <c r="H12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40D2-6E2D-1742-96AC-DF77E3DA975A}">
  <dimension ref="A1:H14"/>
  <sheetViews>
    <sheetView workbookViewId="0">
      <selection activeCell="G10" sqref="G10"/>
    </sheetView>
  </sheetViews>
  <sheetFormatPr baseColWidth="10" defaultRowHeight="18" x14ac:dyDescent="0.25"/>
  <cols>
    <col min="1" max="16384" width="10.832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>
        <v>96.261591753331558</v>
      </c>
      <c r="D2" s="1">
        <v>0</v>
      </c>
      <c r="E2" s="1">
        <f>B2</f>
        <v>96.261591753331558</v>
      </c>
      <c r="F2" s="1">
        <v>0</v>
      </c>
      <c r="G2" s="1" t="s">
        <v>8</v>
      </c>
      <c r="H2" s="1" t="s">
        <v>9</v>
      </c>
    </row>
    <row r="3" spans="1:8" x14ac:dyDescent="0.25">
      <c r="A3" s="1">
        <v>2</v>
      </c>
      <c r="C3" s="1">
        <v>-9.6180420666313626</v>
      </c>
      <c r="D3" s="1">
        <f>E2+C3</f>
        <v>86.643549686700197</v>
      </c>
      <c r="E3" s="1">
        <f>-C3</f>
        <v>9.6180420666313626</v>
      </c>
      <c r="F3" s="1">
        <v>1</v>
      </c>
      <c r="G3" s="1" t="s">
        <v>22</v>
      </c>
      <c r="H3" s="1" t="s">
        <v>10</v>
      </c>
    </row>
    <row r="4" spans="1:8" x14ac:dyDescent="0.25">
      <c r="A4" s="1">
        <v>3</v>
      </c>
      <c r="C4" s="1">
        <v>0</v>
      </c>
      <c r="D4" s="1">
        <f>D3+C4</f>
        <v>86.643549686700197</v>
      </c>
      <c r="E4" s="1">
        <f>-C4</f>
        <v>0</v>
      </c>
      <c r="F4" s="1">
        <v>1</v>
      </c>
      <c r="G4" s="1" t="s">
        <v>11</v>
      </c>
      <c r="H4" s="1" t="s">
        <v>12</v>
      </c>
    </row>
    <row r="5" spans="1:8" x14ac:dyDescent="0.25">
      <c r="A5" s="1">
        <v>4</v>
      </c>
      <c r="C5" s="1">
        <v>-8.7460806880930129</v>
      </c>
      <c r="D5" s="1">
        <f t="shared" ref="D5:D7" si="0">D4+C5</f>
        <v>77.897468998607181</v>
      </c>
      <c r="E5" s="1">
        <f t="shared" ref="E5:E7" si="1">-C5</f>
        <v>8.7460806880930129</v>
      </c>
      <c r="F5" s="1">
        <v>1</v>
      </c>
      <c r="G5" s="1" t="s">
        <v>13</v>
      </c>
      <c r="H5" s="1" t="s">
        <v>14</v>
      </c>
    </row>
    <row r="6" spans="1:8" x14ac:dyDescent="0.25">
      <c r="A6" s="1">
        <v>5</v>
      </c>
      <c r="C6" s="1">
        <v>-25.003144124589348</v>
      </c>
      <c r="D6" s="1">
        <f t="shared" si="0"/>
        <v>52.894324874017833</v>
      </c>
      <c r="E6" s="1">
        <f t="shared" si="1"/>
        <v>25.003144124589348</v>
      </c>
      <c r="F6" s="1">
        <v>1</v>
      </c>
      <c r="G6" s="1" t="s">
        <v>15</v>
      </c>
      <c r="H6" s="1" t="s">
        <v>16</v>
      </c>
    </row>
    <row r="7" spans="1:8" x14ac:dyDescent="0.25">
      <c r="A7" s="1">
        <v>6</v>
      </c>
      <c r="C7" s="1">
        <v>-0.21923657903485116</v>
      </c>
      <c r="D7" s="1">
        <f t="shared" si="0"/>
        <v>52.675088294982984</v>
      </c>
      <c r="E7" s="1">
        <f t="shared" si="1"/>
        <v>0.21923657903485116</v>
      </c>
      <c r="F7" s="1">
        <v>1</v>
      </c>
      <c r="G7" s="1" t="s">
        <v>20</v>
      </c>
      <c r="H7" s="1" t="s">
        <v>21</v>
      </c>
    </row>
    <row r="8" spans="1:8" x14ac:dyDescent="0.25">
      <c r="A8" s="1">
        <v>7</v>
      </c>
      <c r="B8" s="1">
        <v>52.675088294982984</v>
      </c>
      <c r="D8" s="1">
        <v>0</v>
      </c>
      <c r="E8" s="1">
        <f>B8</f>
        <v>52.675088294982984</v>
      </c>
      <c r="F8" s="1">
        <v>0</v>
      </c>
      <c r="G8" s="1" t="s">
        <v>17</v>
      </c>
      <c r="H8" s="1" t="s">
        <v>18</v>
      </c>
    </row>
    <row r="9" spans="1:8" x14ac:dyDescent="0.25">
      <c r="A9" s="1">
        <v>8</v>
      </c>
      <c r="C9" s="1">
        <v>-2.3417249920511529</v>
      </c>
      <c r="D9" s="1">
        <f>E8+C9</f>
        <v>50.333363302931829</v>
      </c>
      <c r="E9" s="1">
        <f>-C9</f>
        <v>2.3417249920511529</v>
      </c>
      <c r="F9" s="1">
        <v>1</v>
      </c>
      <c r="G9" s="1" t="s">
        <v>22</v>
      </c>
      <c r="H9" s="1" t="s">
        <v>10</v>
      </c>
    </row>
    <row r="10" spans="1:8" x14ac:dyDescent="0.25">
      <c r="A10" s="1">
        <v>9</v>
      </c>
      <c r="C10" s="1">
        <v>-8.9132141556409152</v>
      </c>
      <c r="D10" s="1">
        <f>D9+C10</f>
        <v>41.420149147290914</v>
      </c>
      <c r="E10" s="1">
        <f>-C10</f>
        <v>8.9132141556409152</v>
      </c>
      <c r="F10" s="1">
        <v>1</v>
      </c>
      <c r="G10" s="1" t="s">
        <v>11</v>
      </c>
      <c r="H10" s="1" t="s">
        <v>12</v>
      </c>
    </row>
    <row r="11" spans="1:8" x14ac:dyDescent="0.25">
      <c r="A11" s="1">
        <v>10</v>
      </c>
      <c r="C11" s="1">
        <v>-9.1632864354619059</v>
      </c>
      <c r="D11" s="1">
        <f t="shared" ref="D11:D13" si="2">D10+C11</f>
        <v>32.256862711829008</v>
      </c>
      <c r="E11" s="1">
        <f t="shared" ref="E11:E13" si="3">-C11</f>
        <v>9.1632864354619059</v>
      </c>
      <c r="F11" s="1">
        <v>1</v>
      </c>
      <c r="G11" s="1" t="s">
        <v>13</v>
      </c>
      <c r="H11" s="1" t="s">
        <v>14</v>
      </c>
    </row>
    <row r="12" spans="1:8" x14ac:dyDescent="0.25">
      <c r="A12" s="1">
        <v>11</v>
      </c>
      <c r="C12" s="1">
        <v>-1.6104817765111838</v>
      </c>
      <c r="D12" s="1">
        <f t="shared" si="2"/>
        <v>30.646380935317826</v>
      </c>
      <c r="E12" s="1">
        <f t="shared" si="3"/>
        <v>1.6104817765111838</v>
      </c>
      <c r="F12" s="1">
        <v>1</v>
      </c>
      <c r="G12" s="1" t="s">
        <v>15</v>
      </c>
      <c r="H12" s="1" t="s">
        <v>16</v>
      </c>
    </row>
    <row r="13" spans="1:8" x14ac:dyDescent="0.25">
      <c r="A13" s="1">
        <v>12</v>
      </c>
      <c r="C13" s="1">
        <v>-1.9722482402165624</v>
      </c>
      <c r="D13" s="1">
        <f t="shared" si="2"/>
        <v>28.674132695101264</v>
      </c>
      <c r="E13" s="1">
        <f t="shared" si="3"/>
        <v>1.9722482402165624</v>
      </c>
      <c r="F13" s="1">
        <v>1</v>
      </c>
      <c r="G13" s="1" t="s">
        <v>20</v>
      </c>
      <c r="H13" s="1" t="s">
        <v>21</v>
      </c>
    </row>
    <row r="14" spans="1:8" x14ac:dyDescent="0.25">
      <c r="A14" s="1">
        <v>13</v>
      </c>
      <c r="B14" s="1">
        <v>28.674132695101264</v>
      </c>
      <c r="D14" s="1">
        <v>0</v>
      </c>
      <c r="E14" s="1">
        <f>B14</f>
        <v>28.674132695101264</v>
      </c>
      <c r="F14" s="1">
        <v>0</v>
      </c>
      <c r="G14" s="1" t="s">
        <v>19</v>
      </c>
      <c r="H1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</vt:lpstr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2026-01-16T06:47:11Z</dcterms:created>
  <dcterms:modified xsi:type="dcterms:W3CDTF">2026-01-16T07:18:24Z</dcterms:modified>
</cp:coreProperties>
</file>