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github/NZPR/doc/report2026/figures/extra/"/>
    </mc:Choice>
  </mc:AlternateContent>
  <xr:revisionPtr revIDLastSave="0" documentId="13_ncr:1_{D58ED4AC-7186-8F43-B423-CAB97EF3E715}" xr6:coauthVersionLast="47" xr6:coauthVersionMax="47" xr10:uidLastSave="{00000000-0000-0000-0000-000000000000}"/>
  <bookViews>
    <workbookView xWindow="33020" yWindow="8540" windowWidth="26840" windowHeight="15940" activeTab="1" xr2:uid="{70320EE9-ED0F-0E44-99CF-8C7CA32F8B21}"/>
  </bookViews>
  <sheets>
    <sheet name="Sheet1" sheetId="1" r:id="rId1"/>
    <sheet name="for_p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  <c r="G11" i="1"/>
  <c r="O10" i="1"/>
  <c r="N10" i="1"/>
  <c r="M10" i="1"/>
  <c r="L10" i="1"/>
  <c r="K10" i="1"/>
  <c r="J10" i="1"/>
  <c r="I10" i="1"/>
  <c r="H10" i="1"/>
  <c r="G10" i="1"/>
  <c r="F11" i="1"/>
  <c r="F10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E8" i="1"/>
  <c r="E7" i="1"/>
</calcChain>
</file>

<file path=xl/sharedStrings.xml><?xml version="1.0" encoding="utf-8"?>
<sst xmlns="http://schemas.openxmlformats.org/spreadsheetml/2006/main" count="13" uniqueCount="8">
  <si>
    <t>エネ起源</t>
  </si>
  <si>
    <t>非エネ起源</t>
  </si>
  <si>
    <t>吸収量</t>
  </si>
  <si>
    <t>CO2</t>
  </si>
  <si>
    <t>エネ起源割合</t>
  </si>
  <si>
    <t>非エネ起源割合</t>
  </si>
  <si>
    <t>2013年度比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</si>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</sst>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Sheet1!$E$16</c:f>
              <c:strCache>
                <c:ptCount val="1"/>
                <c:pt idx="0">
                  <c:v>エネ起源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Sheet1!$F$15:$O$15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Sheet1!$F$16:$O$16</c:f>
              <c:numCache>
                <c:formatCode>General</c:formatCode>
                <c:ptCount val="10"/>
                <c:pt idx="0">
                  <c:v>1185.1804579719142</c:v>
                </c:pt>
                <c:pt idx="1">
                  <c:v>1145.8045035909079</c:v>
                </c:pt>
                <c:pt idx="2">
                  <c:v>1126.1170594839703</c:v>
                </c:pt>
                <c:pt idx="3">
                  <c:v>1109.466853503601</c:v>
                </c:pt>
                <c:pt idx="4">
                  <c:v>1063.969905773122</c:v>
                </c:pt>
                <c:pt idx="5">
                  <c:v>1028.587494398769</c:v>
                </c:pt>
                <c:pt idx="6">
                  <c:v>967.97329311698638</c:v>
                </c:pt>
                <c:pt idx="7">
                  <c:v>987.01321734383009</c:v>
                </c:pt>
                <c:pt idx="8">
                  <c:v>960.97186852685161</c:v>
                </c:pt>
                <c:pt idx="9">
                  <c:v>921.71039063362059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7-3F44-9940-26E7D2C5EA44}"/>
            </c:ext>
          </c:extLst>
        </c:ser>
        <c:ser>
          <c:idx val="1"/>
          <c:order val="1"/>
          <c:tx>
            <c:strRef>
              <c:f>Sheet1!$E$17</c:f>
              <c:strCache>
                <c:ptCount val="1"/>
                <c:pt idx="0">
                  <c:v>非エネ起源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Sheet1!$F$15:$O$15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Sheet1!$F$17:$O$17</c:f>
              <c:numCache>
                <c:formatCode>General</c:formatCode>
                <c:ptCount val="10"/>
                <c:pt idx="0">
                  <c:v>77.30944596482189</c:v>
                </c:pt>
                <c:pt idx="1">
                  <c:v>76.372452555730021</c:v>
                </c:pt>
                <c:pt idx="2">
                  <c:v>75.972790656002999</c:v>
                </c:pt>
                <c:pt idx="3">
                  <c:v>77.046274903045401</c:v>
                </c:pt>
                <c:pt idx="4">
                  <c:v>76.652377992674118</c:v>
                </c:pt>
                <c:pt idx="5">
                  <c:v>75.490857177936903</c:v>
                </c:pt>
                <c:pt idx="6">
                  <c:v>71.184714161230289</c:v>
                </c:pt>
                <c:pt idx="7">
                  <c:v>73.332937972389075</c:v>
                </c:pt>
                <c:pt idx="8">
                  <c:v>70.509253723452105</c:v>
                </c:pt>
                <c:pt idx="9">
                  <c:v>67.006271141186005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7-3F44-9940-26E7D2C5EA44}"/>
            </c:ext>
          </c:extLst>
        </c:ser>
        <c:ser>
          <c:idx val="2"/>
          <c:order val="2"/>
          <c:tx>
            <c:strRef>
              <c:f>Sheet1!$E$18</c:f>
              <c:strCache>
                <c:ptCount val="1"/>
                <c:pt idx="0">
                  <c:v>吸収量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Sheet1!$F$15:$O$15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Sheet1!$F$18:$O$18</c:f>
              <c:numCache>
                <c:formatCode>General</c:formatCode>
                <c:ptCount val="10"/>
                <c:pt idx="0">
                  <c:v>-69.014479644128883</c:v>
                </c:pt>
                <c:pt idx="1">
                  <c:v>-65.73764205525687</c:v>
                </c:pt>
                <c:pt idx="2">
                  <c:v>-64.238039915029773</c:v>
                </c:pt>
                <c:pt idx="3">
                  <c:v>-63.687602976001145</c:v>
                </c:pt>
                <c:pt idx="4">
                  <c:v>-62.204440499509637</c:v>
                </c:pt>
                <c:pt idx="5">
                  <c:v>-58.216619974011429</c:v>
                </c:pt>
                <c:pt idx="6">
                  <c:v>-55.954364895156004</c:v>
                </c:pt>
                <c:pt idx="7">
                  <c:v>-56.597248900138716</c:v>
                </c:pt>
                <c:pt idx="8">
                  <c:v>-53.776983273072602</c:v>
                </c:pt>
                <c:pt idx="9">
                  <c:v>-53.694266129857688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7-3F44-9940-26E7D2C5E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9251183"/>
        <c:axId val="1567385727"/>
      </c:barChart>
      <c:catAx>
        <c:axId val="187925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34" charset="-128"/>
                <a:ea typeface="Noto Sans JP" panose="020B0200000000000000" pitchFamily="34" charset="-128"/>
                <a:cs typeface="+mn-cs"/>
              </a:defRPr>
            </a:pPr>
            <a:endParaRPr lang="en-JP"/>
          </a:p>
        </c:txPr>
        <c:crossAx val="1567385727"/>
        <c:crosses val="autoZero"/>
        <c:auto val="1"/>
        <c:lblAlgn val="ctr"/>
        <c:lblOffset val="100"/>
        <c:noMultiLvlLbl val="0"/>
      </c:catAx>
      <c:valAx>
        <c:axId val="1567385727"/>
        <c:scaling>
          <c:orientation val="minMax"/>
          <c:max val="13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latin typeface="Noto Sans JP" panose="020B0200000000000000" pitchFamily="34" charset="-128"/>
                    <a:ea typeface="Noto Sans JP" panose="020B0200000000000000" pitchFamily="34" charset="-128"/>
                  </a:rPr>
                  <a:t>MtCO2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34" charset="-128"/>
                <a:ea typeface="Noto Sans JP" panose="020B0200000000000000" pitchFamily="34" charset="-128"/>
                <a:cs typeface="+mn-cs"/>
              </a:defRPr>
            </a:pPr>
            <a:endParaRPr lang="en-JP"/>
          </a:p>
        </c:txPr>
        <c:crossAx val="187925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JP" panose="020B0200000000000000" pitchFamily="34" charset="-128"/>
              <a:ea typeface="Noto Sans JP" panose="020B0200000000000000" pitchFamily="34" charset="-128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19</xdr:row>
      <xdr:rowOff>101600</xdr:rowOff>
    </xdr:from>
    <xdr:to>
      <xdr:col>13</xdr:col>
      <xdr:colOff>698500</xdr:colOff>
      <xdr:row>43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344D9-42D7-6007-20AC-D91DDABCA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6515-A902-AB46-A136-6459BB50BBF1}">
  <dimension ref="A2:O18"/>
  <sheetViews>
    <sheetView topLeftCell="A13" workbookViewId="0">
      <selection activeCell="E15" sqref="E15:O18"/>
    </sheetView>
  </sheetViews>
  <sheetFormatPr baseColWidth="10" defaultRowHeight="18" x14ac:dyDescent="0.25"/>
  <cols>
    <col min="1" max="16384" width="10.83203125" style="1"/>
  </cols>
  <sheetData>
    <row r="2" spans="1:15" x14ac:dyDescent="0.25"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  <c r="O2" s="1">
        <v>2023</v>
      </c>
    </row>
    <row r="3" spans="1:15" x14ac:dyDescent="0.25">
      <c r="A3" s="1" t="s">
        <v>3</v>
      </c>
      <c r="B3" s="1">
        <v>1213.5318684110387</v>
      </c>
      <c r="C3" s="1">
        <v>1263.5346772459807</v>
      </c>
      <c r="D3" s="1">
        <v>1304.3959768565476</v>
      </c>
      <c r="E3" s="1">
        <v>1314.1646985442148</v>
      </c>
      <c r="F3" s="1">
        <v>1262.489903936736</v>
      </c>
      <c r="G3" s="1">
        <v>1222.1769561466378</v>
      </c>
      <c r="H3" s="1">
        <v>1202.0898501399734</v>
      </c>
      <c r="I3" s="1">
        <v>1186.5131284066465</v>
      </c>
      <c r="J3" s="1">
        <v>1140.6222837657961</v>
      </c>
      <c r="K3" s="1">
        <v>1104.0783515767059</v>
      </c>
      <c r="L3" s="1">
        <v>1039.1580072782167</v>
      </c>
      <c r="M3" s="1">
        <v>1060.3461553162192</v>
      </c>
      <c r="N3" s="1">
        <v>1031.4811222503038</v>
      </c>
      <c r="O3" s="1">
        <v>988.71666177480665</v>
      </c>
    </row>
    <row r="4" spans="1:15" x14ac:dyDescent="0.25">
      <c r="A4" s="1" t="s">
        <v>0</v>
      </c>
      <c r="B4" s="1">
        <v>1136.944412005553</v>
      </c>
      <c r="C4" s="1">
        <v>1188.0046866890557</v>
      </c>
      <c r="D4" s="1">
        <v>1227.2625996148483</v>
      </c>
      <c r="E4" s="1">
        <v>1235.3729068825385</v>
      </c>
      <c r="F4" s="1">
        <v>1185.1804579719142</v>
      </c>
      <c r="G4" s="1">
        <v>1145.8045035909079</v>
      </c>
      <c r="H4" s="1">
        <v>1126.1170594839703</v>
      </c>
      <c r="I4" s="1">
        <v>1109.466853503601</v>
      </c>
      <c r="J4" s="1">
        <v>1063.969905773122</v>
      </c>
      <c r="K4" s="1">
        <v>1028.587494398769</v>
      </c>
      <c r="L4" s="1">
        <v>967.97329311698638</v>
      </c>
      <c r="M4" s="1">
        <v>987.01321734383009</v>
      </c>
      <c r="N4" s="1">
        <v>960.97186852685161</v>
      </c>
      <c r="O4" s="1">
        <v>921.71039063362059</v>
      </c>
    </row>
    <row r="5" spans="1:15" x14ac:dyDescent="0.25">
      <c r="A5" s="1" t="s">
        <v>1</v>
      </c>
      <c r="B5" s="1">
        <v>76.587456405485639</v>
      </c>
      <c r="C5" s="1">
        <v>75.529990556925071</v>
      </c>
      <c r="D5" s="1">
        <v>77.133377241699179</v>
      </c>
      <c r="E5" s="1">
        <v>78.791791661676271</v>
      </c>
      <c r="F5" s="1">
        <v>77.30944596482189</v>
      </c>
      <c r="G5" s="1">
        <v>76.372452555730021</v>
      </c>
      <c r="H5" s="1">
        <v>75.972790656002999</v>
      </c>
      <c r="I5" s="1">
        <v>77.046274903045401</v>
      </c>
      <c r="J5" s="1">
        <v>76.652377992674118</v>
      </c>
      <c r="K5" s="1">
        <v>75.490857177936903</v>
      </c>
      <c r="L5" s="1">
        <v>71.184714161230289</v>
      </c>
      <c r="M5" s="1">
        <v>73.332937972389075</v>
      </c>
      <c r="N5" s="1">
        <v>70.509253723452105</v>
      </c>
      <c r="O5" s="1">
        <v>67.006271141186005</v>
      </c>
    </row>
    <row r="7" spans="1:15" x14ac:dyDescent="0.25">
      <c r="A7" s="1" t="s">
        <v>4</v>
      </c>
      <c r="E7" s="1">
        <f>E4/E3</f>
        <v>0.94004420317410808</v>
      </c>
      <c r="F7" s="1">
        <f t="shared" ref="F7:O7" si="0">F4/F3</f>
        <v>0.93876430558077884</v>
      </c>
      <c r="G7" s="1">
        <f t="shared" si="0"/>
        <v>0.93751113357878857</v>
      </c>
      <c r="H7" s="1">
        <f t="shared" si="0"/>
        <v>0.93679940759240521</v>
      </c>
      <c r="I7" s="1">
        <f t="shared" si="0"/>
        <v>0.93506496214963086</v>
      </c>
      <c r="J7" s="1">
        <f t="shared" si="0"/>
        <v>0.932797755152035</v>
      </c>
      <c r="K7" s="1">
        <f t="shared" si="0"/>
        <v>0.93162545296705579</v>
      </c>
      <c r="L7" s="1">
        <f t="shared" si="0"/>
        <v>0.93149769942332572</v>
      </c>
      <c r="M7" s="1">
        <f t="shared" si="0"/>
        <v>0.93084056786104952</v>
      </c>
      <c r="N7" s="1">
        <f t="shared" si="0"/>
        <v>0.93164271046509561</v>
      </c>
      <c r="O7" s="1">
        <f t="shared" si="0"/>
        <v>0.93222904626598913</v>
      </c>
    </row>
    <row r="8" spans="1:15" x14ac:dyDescent="0.25">
      <c r="A8" s="1" t="s">
        <v>5</v>
      </c>
      <c r="E8" s="1">
        <f>E5/E3</f>
        <v>5.9955796825891784E-2</v>
      </c>
      <c r="F8" s="1">
        <f t="shared" ref="F8:O8" si="1">F5/F3</f>
        <v>6.1235694419221193E-2</v>
      </c>
      <c r="G8" s="1">
        <f t="shared" si="1"/>
        <v>6.2488866421211424E-2</v>
      </c>
      <c r="H8" s="1">
        <f t="shared" si="1"/>
        <v>6.3200592407594652E-2</v>
      </c>
      <c r="I8" s="1">
        <f t="shared" si="1"/>
        <v>6.4935037850369068E-2</v>
      </c>
      <c r="J8" s="1">
        <f t="shared" si="1"/>
        <v>6.7202244847965067E-2</v>
      </c>
      <c r="K8" s="1">
        <f t="shared" si="1"/>
        <v>6.8374547032944127E-2</v>
      </c>
      <c r="L8" s="1">
        <f t="shared" si="1"/>
        <v>6.8502300576674294E-2</v>
      </c>
      <c r="M8" s="1">
        <f t="shared" si="1"/>
        <v>6.9159432138950455E-2</v>
      </c>
      <c r="N8" s="1">
        <f t="shared" si="1"/>
        <v>6.8357289534904372E-2</v>
      </c>
      <c r="O8" s="1">
        <f t="shared" si="1"/>
        <v>6.7770953734010778E-2</v>
      </c>
    </row>
    <row r="10" spans="1:15" x14ac:dyDescent="0.25">
      <c r="A10" s="1" t="s">
        <v>6</v>
      </c>
      <c r="F10" s="1">
        <f>F4/$E4</f>
        <v>0.95937060896269377</v>
      </c>
      <c r="G10" s="1">
        <f t="shared" ref="G10:O10" si="2">G4/$E4</f>
        <v>0.92749686933182274</v>
      </c>
      <c r="H10" s="1">
        <f t="shared" si="2"/>
        <v>0.91156043103270312</v>
      </c>
      <c r="I10" s="1">
        <f t="shared" si="2"/>
        <v>0.89808255250096003</v>
      </c>
      <c r="J10" s="1">
        <f t="shared" si="2"/>
        <v>0.86125403903995945</v>
      </c>
      <c r="K10" s="1">
        <f t="shared" si="2"/>
        <v>0.83261296137245544</v>
      </c>
      <c r="L10" s="1">
        <f t="shared" si="2"/>
        <v>0.78354745172424534</v>
      </c>
      <c r="M10" s="1">
        <f t="shared" si="2"/>
        <v>0.79895974069445663</v>
      </c>
      <c r="N10" s="1">
        <f t="shared" si="2"/>
        <v>0.77787999329843049</v>
      </c>
      <c r="O10" s="1">
        <f t="shared" si="2"/>
        <v>0.7460989191996733</v>
      </c>
    </row>
    <row r="11" spans="1:15" x14ac:dyDescent="0.25">
      <c r="F11" s="1">
        <f>F5/$E5</f>
        <v>0.98118654664918115</v>
      </c>
      <c r="G11" s="1">
        <f t="shared" ref="G11:O11" si="3">G5/$E5</f>
        <v>0.96929452859335097</v>
      </c>
      <c r="H11" s="1">
        <f t="shared" si="3"/>
        <v>0.96422214870074574</v>
      </c>
      <c r="I11" s="1">
        <f t="shared" si="3"/>
        <v>0.97784646443723555</v>
      </c>
      <c r="J11" s="1">
        <f t="shared" si="3"/>
        <v>0.97284725192963539</v>
      </c>
      <c r="K11" s="1">
        <f t="shared" si="3"/>
        <v>0.95810560447827819</v>
      </c>
      <c r="L11" s="1">
        <f t="shared" si="3"/>
        <v>0.90345342655603034</v>
      </c>
      <c r="M11" s="1">
        <f t="shared" si="3"/>
        <v>0.93071799010832312</v>
      </c>
      <c r="N11" s="1">
        <f t="shared" si="3"/>
        <v>0.89488070059647173</v>
      </c>
      <c r="O11" s="1">
        <f t="shared" si="3"/>
        <v>0.85042197579290923</v>
      </c>
    </row>
    <row r="15" spans="1:15" x14ac:dyDescent="0.25">
      <c r="F15" s="1">
        <v>2014</v>
      </c>
      <c r="G15" s="1">
        <v>2015</v>
      </c>
      <c r="H15" s="1">
        <v>2016</v>
      </c>
      <c r="I15" s="1">
        <v>2017</v>
      </c>
      <c r="J15" s="1">
        <v>2018</v>
      </c>
      <c r="K15" s="1">
        <v>2019</v>
      </c>
      <c r="L15" s="1">
        <v>2020</v>
      </c>
      <c r="M15" s="1">
        <v>2021</v>
      </c>
      <c r="N15" s="1">
        <v>2022</v>
      </c>
      <c r="O15" s="1">
        <v>2023</v>
      </c>
    </row>
    <row r="16" spans="1:15" x14ac:dyDescent="0.25">
      <c r="E16" s="1" t="s">
        <v>0</v>
      </c>
      <c r="F16" s="1">
        <v>1185.1804579719142</v>
      </c>
      <c r="G16" s="1">
        <v>1145.8045035909079</v>
      </c>
      <c r="H16" s="1">
        <v>1126.1170594839703</v>
      </c>
      <c r="I16" s="1">
        <v>1109.466853503601</v>
      </c>
      <c r="J16" s="1">
        <v>1063.969905773122</v>
      </c>
      <c r="K16" s="1">
        <v>1028.587494398769</v>
      </c>
      <c r="L16" s="1">
        <v>967.97329311698638</v>
      </c>
      <c r="M16" s="1">
        <v>987.01321734383009</v>
      </c>
      <c r="N16" s="1">
        <v>960.97186852685161</v>
      </c>
      <c r="O16" s="1">
        <v>921.71039063362059</v>
      </c>
    </row>
    <row r="17" spans="5:15" x14ac:dyDescent="0.25">
      <c r="E17" s="1" t="s">
        <v>1</v>
      </c>
      <c r="F17" s="1">
        <v>77.30944596482189</v>
      </c>
      <c r="G17" s="1">
        <v>76.372452555730021</v>
      </c>
      <c r="H17" s="1">
        <v>75.972790656002999</v>
      </c>
      <c r="I17" s="1">
        <v>77.046274903045401</v>
      </c>
      <c r="J17" s="1">
        <v>76.652377992674118</v>
      </c>
      <c r="K17" s="1">
        <v>75.490857177936903</v>
      </c>
      <c r="L17" s="1">
        <v>71.184714161230289</v>
      </c>
      <c r="M17" s="1">
        <v>73.332937972389075</v>
      </c>
      <c r="N17" s="1">
        <v>70.509253723452105</v>
      </c>
      <c r="O17" s="1">
        <v>67.006271141186005</v>
      </c>
    </row>
    <row r="18" spans="5:15" x14ac:dyDescent="0.25">
      <c r="E18" s="1" t="s">
        <v>2</v>
      </c>
      <c r="F18" s="1">
        <v>-69.014479644128883</v>
      </c>
      <c r="G18" s="1">
        <v>-65.73764205525687</v>
      </c>
      <c r="H18" s="1">
        <v>-64.238039915029773</v>
      </c>
      <c r="I18" s="1">
        <v>-63.687602976001145</v>
      </c>
      <c r="J18" s="1">
        <v>-62.204440499509637</v>
      </c>
      <c r="K18" s="1">
        <v>-58.216619974011429</v>
      </c>
      <c r="L18" s="1">
        <v>-55.954364895156004</v>
      </c>
      <c r="M18" s="1">
        <v>-56.597248900138716</v>
      </c>
      <c r="N18" s="1">
        <v>-53.776983273072602</v>
      </c>
      <c r="O18" s="1">
        <v>-53.694266129857688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C36B-8CB8-D544-B304-FB4432DD3B59}">
  <dimension ref="A1:D11"/>
  <sheetViews>
    <sheetView tabSelected="1" workbookViewId="0">
      <selection activeCell="A2" sqref="A2"/>
    </sheetView>
  </sheetViews>
  <sheetFormatPr baseColWidth="10" defaultRowHeight="16" x14ac:dyDescent="0.2"/>
  <sheetData>
    <row r="1" spans="1:4" ht="18" x14ac:dyDescent="0.25">
      <c r="A1" s="1" t="s">
        <v>7</v>
      </c>
      <c r="B1" s="1" t="s">
        <v>0</v>
      </c>
      <c r="C1" s="1" t="s">
        <v>1</v>
      </c>
      <c r="D1" s="1" t="s">
        <v>2</v>
      </c>
    </row>
    <row r="2" spans="1:4" ht="18" x14ac:dyDescent="0.25">
      <c r="A2" s="1">
        <v>2014</v>
      </c>
      <c r="B2" s="1">
        <v>1185.1804579719142</v>
      </c>
      <c r="C2" s="1">
        <v>77.30944596482189</v>
      </c>
      <c r="D2" s="1">
        <v>-69.014479644128883</v>
      </c>
    </row>
    <row r="3" spans="1:4" ht="18" x14ac:dyDescent="0.25">
      <c r="A3" s="1">
        <v>2015</v>
      </c>
      <c r="B3" s="1">
        <v>1145.8045035909079</v>
      </c>
      <c r="C3" s="1">
        <v>76.372452555730021</v>
      </c>
      <c r="D3" s="1">
        <v>-65.73764205525687</v>
      </c>
    </row>
    <row r="4" spans="1:4" ht="18" x14ac:dyDescent="0.25">
      <c r="A4" s="1">
        <v>2016</v>
      </c>
      <c r="B4" s="1">
        <v>1126.1170594839703</v>
      </c>
      <c r="C4" s="1">
        <v>75.972790656002999</v>
      </c>
      <c r="D4" s="1">
        <v>-64.238039915029773</v>
      </c>
    </row>
    <row r="5" spans="1:4" ht="18" x14ac:dyDescent="0.25">
      <c r="A5" s="1">
        <v>2017</v>
      </c>
      <c r="B5" s="1">
        <v>1109.466853503601</v>
      </c>
      <c r="C5" s="1">
        <v>77.046274903045401</v>
      </c>
      <c r="D5" s="1">
        <v>-63.687602976001145</v>
      </c>
    </row>
    <row r="6" spans="1:4" ht="18" x14ac:dyDescent="0.25">
      <c r="A6" s="1">
        <v>2018</v>
      </c>
      <c r="B6" s="1">
        <v>1063.969905773122</v>
      </c>
      <c r="C6" s="1">
        <v>76.652377992674118</v>
      </c>
      <c r="D6" s="1">
        <v>-62.204440499509637</v>
      </c>
    </row>
    <row r="7" spans="1:4" ht="18" x14ac:dyDescent="0.25">
      <c r="A7" s="1">
        <v>2019</v>
      </c>
      <c r="B7" s="1">
        <v>1028.587494398769</v>
      </c>
      <c r="C7" s="1">
        <v>75.490857177936903</v>
      </c>
      <c r="D7" s="1">
        <v>-58.216619974011429</v>
      </c>
    </row>
    <row r="8" spans="1:4" ht="18" x14ac:dyDescent="0.25">
      <c r="A8" s="1">
        <v>2020</v>
      </c>
      <c r="B8" s="1">
        <v>967.97329311698638</v>
      </c>
      <c r="C8" s="1">
        <v>71.184714161230289</v>
      </c>
      <c r="D8" s="1">
        <v>-55.954364895156004</v>
      </c>
    </row>
    <row r="9" spans="1:4" ht="18" x14ac:dyDescent="0.25">
      <c r="A9" s="1">
        <v>2021</v>
      </c>
      <c r="B9" s="1">
        <v>987.01321734383009</v>
      </c>
      <c r="C9" s="1">
        <v>73.332937972389075</v>
      </c>
      <c r="D9" s="1">
        <v>-56.597248900138716</v>
      </c>
    </row>
    <row r="10" spans="1:4" ht="18" x14ac:dyDescent="0.25">
      <c r="A10" s="1">
        <v>2022</v>
      </c>
      <c r="B10" s="1">
        <v>960.97186852685161</v>
      </c>
      <c r="C10" s="1">
        <v>70.509253723452105</v>
      </c>
      <c r="D10" s="1">
        <v>-53.776983273072602</v>
      </c>
    </row>
    <row r="11" spans="1:4" ht="18" x14ac:dyDescent="0.25">
      <c r="A11" s="1">
        <v>2023</v>
      </c>
      <c r="B11" s="1">
        <v>921.71039063362059</v>
      </c>
      <c r="C11" s="1">
        <v>67.006271141186005</v>
      </c>
      <c r="D11" s="1">
        <v>-53.694266129857688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2026-03-19T00:35:28Z</dcterms:created>
  <dcterms:modified xsi:type="dcterms:W3CDTF">2026-07-30T05:08:41Z</dcterms:modified>
</cp:coreProperties>
</file>