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Library/CloudStorage/GoogleDrive-ikuru.iwata@mx.iges.or.jp/My Drive/research/1p5CRM/NZPR/20251226work_sectors/"/>
    </mc:Choice>
  </mc:AlternateContent>
  <xr:revisionPtr revIDLastSave="0" documentId="13_ncr:1_{12DE54D3-0A90-A34B-BA6D-BCE3C493A6DB}" xr6:coauthVersionLast="47" xr6:coauthVersionMax="47" xr10:uidLastSave="{00000000-0000-0000-0000-000000000000}"/>
  <bookViews>
    <workbookView xWindow="17040" yWindow="14680" windowWidth="26840" windowHeight="15940" activeTab="1" xr2:uid="{B2C5DD8E-13AE-7C4D-8552-112851C8BC18}"/>
  </bookViews>
  <sheets>
    <sheet name="Sheet1" sheetId="1" r:id="rId1"/>
    <sheet name="for_plo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8" i="1" l="1"/>
  <c r="H34" i="1"/>
  <c r="H28" i="1"/>
  <c r="H25" i="1"/>
  <c r="C37" i="1"/>
  <c r="B37" i="1"/>
  <c r="C34" i="1"/>
  <c r="B34" i="1"/>
  <c r="C33" i="1"/>
  <c r="B33" i="1"/>
  <c r="C32" i="1"/>
  <c r="B32" i="1"/>
  <c r="C31" i="1"/>
  <c r="B31" i="1"/>
  <c r="C29" i="1"/>
  <c r="B29" i="1"/>
  <c r="C28" i="1"/>
  <c r="B28" i="1"/>
  <c r="C27" i="1"/>
  <c r="B27" i="1"/>
  <c r="C26" i="1"/>
  <c r="B26" i="1"/>
  <c r="C25" i="1"/>
  <c r="B25" i="1"/>
  <c r="C24" i="1"/>
  <c r="B24" i="1"/>
  <c r="O18" i="1"/>
  <c r="O15" i="1"/>
  <c r="N15" i="1"/>
  <c r="M15" i="1"/>
  <c r="O14" i="1"/>
  <c r="N14" i="1"/>
  <c r="M14" i="1"/>
  <c r="O13" i="1"/>
  <c r="N13" i="1"/>
  <c r="M13" i="1"/>
  <c r="O12" i="1"/>
  <c r="N12" i="1"/>
  <c r="M12" i="1"/>
  <c r="O10" i="1"/>
  <c r="N10" i="1"/>
  <c r="M10" i="1"/>
  <c r="O9" i="1"/>
  <c r="N9" i="1"/>
  <c r="M9" i="1"/>
  <c r="O8" i="1"/>
  <c r="N8" i="1"/>
  <c r="M8" i="1"/>
  <c r="O7" i="1"/>
  <c r="N7" i="1"/>
  <c r="M7" i="1"/>
  <c r="O6" i="1"/>
  <c r="N6" i="1"/>
  <c r="M6" i="1"/>
  <c r="O5" i="1"/>
  <c r="L16" i="1"/>
  <c r="K16" i="1"/>
  <c r="L11" i="1"/>
  <c r="K11" i="1"/>
  <c r="I15" i="1"/>
  <c r="I14" i="1"/>
  <c r="I13" i="1"/>
  <c r="I12" i="1"/>
  <c r="I10" i="1"/>
  <c r="I9" i="1"/>
  <c r="I8" i="1"/>
  <c r="I7" i="1"/>
  <c r="I6" i="1"/>
  <c r="H16" i="1"/>
  <c r="H11" i="1"/>
  <c r="C16" i="1"/>
  <c r="B16" i="1"/>
  <c r="F15" i="1"/>
  <c r="E15" i="1"/>
  <c r="D15" i="1"/>
  <c r="F14" i="1"/>
  <c r="E14" i="1"/>
  <c r="D14" i="1"/>
  <c r="F13" i="1"/>
  <c r="E13" i="1"/>
  <c r="D13" i="1"/>
  <c r="F12" i="1"/>
  <c r="E12" i="1"/>
  <c r="D12" i="1"/>
  <c r="C11" i="1"/>
  <c r="B11" i="1"/>
  <c r="F10" i="1"/>
  <c r="E10" i="1"/>
  <c r="D10" i="1"/>
  <c r="F9" i="1"/>
  <c r="E9" i="1"/>
  <c r="D9" i="1"/>
  <c r="F8" i="1"/>
  <c r="E8" i="1"/>
  <c r="D8" i="1"/>
  <c r="F7" i="1"/>
  <c r="E7" i="1"/>
  <c r="D7" i="1"/>
  <c r="F6" i="1"/>
  <c r="E6" i="1"/>
  <c r="D6" i="1"/>
  <c r="F5" i="1"/>
  <c r="D37" i="1" l="1"/>
  <c r="D34" i="1"/>
  <c r="D33" i="1"/>
  <c r="D32" i="1"/>
  <c r="D31" i="1"/>
  <c r="D29" i="1"/>
  <c r="D28" i="1"/>
  <c r="D27" i="1"/>
  <c r="D26" i="1"/>
  <c r="D25" i="1"/>
  <c r="C35" i="1"/>
  <c r="B35" i="1"/>
  <c r="C30" i="1"/>
  <c r="B30" i="1"/>
  <c r="O16" i="1"/>
  <c r="N16" i="1"/>
  <c r="O11" i="1"/>
  <c r="N11" i="1"/>
  <c r="M11" i="1"/>
  <c r="I16" i="1"/>
  <c r="I11" i="1"/>
  <c r="M16" i="1"/>
  <c r="D24" i="1"/>
  <c r="E16" i="1"/>
  <c r="F11" i="1"/>
  <c r="E11" i="1"/>
  <c r="D11" i="1"/>
  <c r="D16" i="1"/>
  <c r="F16" i="1"/>
  <c r="D30" i="1" l="1"/>
  <c r="D35" i="1"/>
</calcChain>
</file>

<file path=xl/sharedStrings.xml><?xml version="1.0" encoding="utf-8"?>
<sst xmlns="http://schemas.openxmlformats.org/spreadsheetml/2006/main" count="77" uniqueCount="42">
  <si>
    <t>製造業</t>
  </si>
  <si>
    <t>パルプ・紙</t>
  </si>
  <si>
    <t>化学</t>
  </si>
  <si>
    <t>石油・石炭製品</t>
  </si>
  <si>
    <t>窯業・土石</t>
  </si>
  <si>
    <t>一次金属</t>
  </si>
  <si>
    <t>素材系以外</t>
  </si>
  <si>
    <t>電子部品・デバイス</t>
  </si>
  <si>
    <t>電気機械</t>
  </si>
  <si>
    <t>情報・通信機器</t>
  </si>
  <si>
    <t>輸送用機械</t>
  </si>
  <si>
    <t>上記以外</t>
  </si>
  <si>
    <t>実質GDP</t>
  </si>
  <si>
    <t>製造業内の割合</t>
  </si>
  <si>
    <t>10億円</t>
  </si>
  <si>
    <t>国内総生産</t>
  </si>
  <si>
    <t>2024/2013</t>
  </si>
  <si>
    <t>2024fcm3rn_jp.xlsx</t>
  </si>
  <si>
    <t>2020暦年連鎖価格</t>
  </si>
  <si>
    <t>FEC (エネルギー起源)</t>
  </si>
  <si>
    <t>全部門</t>
  </si>
  <si>
    <t>実質GDP/エネルギー</t>
  </si>
  <si>
    <t>TJ</t>
  </si>
  <si>
    <t>10億円/TJ</t>
  </si>
  <si>
    <t>万t</t>
  </si>
  <si>
    <t>日本製紙連合会</t>
  </si>
  <si>
    <t>日本化学工業協会</t>
  </si>
  <si>
    <t>(鉱工業生産指数)</t>
  </si>
  <si>
    <t>日本鉄鋼連盟</t>
  </si>
  <si>
    <t>経済活動量の変化</t>
  </si>
  <si>
    <t>電機・電子温暖化対策連絡会</t>
  </si>
  <si>
    <t>万t (生産活動量2013年度比-27.2%)</t>
  </si>
  <si>
    <t>セメント協会</t>
  </si>
  <si>
    <t>兆円</t>
  </si>
  <si>
    <t>日本自動車工業会・日本自動車車体工業会</t>
  </si>
  <si>
    <t>経団連 生産活動量</t>
  </si>
  <si>
    <t>部門</t>
  </si>
  <si>
    <t>その他</t>
  </si>
  <si>
    <t>実質GDP 2024/2013</t>
  </si>
  <si>
    <t>実質GDP/エネルギー 2024/2013</t>
  </si>
  <si>
    <t>生産活動指数 (経団連) 2024/2013</t>
  </si>
  <si>
    <t>FEC 2024/2013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</si>
</sst>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0.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2" borderId="0" xfId="0" applyFont="1" applyFill="1"/>
    <xf numFmtId="2" fontId="2" fillId="0" borderId="0" xfId="0" applyNumberFormat="1" applyFont="1"/>
    <xf numFmtId="164" fontId="2" fillId="0" borderId="0" xfId="0" applyNumberFormat="1" applyFont="1"/>
    <xf numFmtId="41" fontId="2" fillId="0" borderId="0" xfId="1" applyFont="1"/>
    <xf numFmtId="43" fontId="2" fillId="0" borderId="0" xfId="0" applyNumberFormat="1" applyFont="1"/>
    <xf numFmtId="165" fontId="2" fillId="0" borderId="0" xfId="0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A3DC9-479B-2F47-A721-4032B4C67810}">
  <dimension ref="A1:O37"/>
  <sheetViews>
    <sheetView topLeftCell="A9" workbookViewId="0">
      <selection activeCell="J32" sqref="J32"/>
    </sheetView>
  </sheetViews>
  <sheetFormatPr baseColWidth="10" defaultRowHeight="18" x14ac:dyDescent="0.25"/>
  <cols>
    <col min="1" max="10" width="10.83203125" style="1"/>
    <col min="11" max="12" width="13.5" style="1" bestFit="1" customWidth="1"/>
    <col min="13" max="16384" width="10.83203125" style="1"/>
  </cols>
  <sheetData>
    <row r="1" spans="1:15" x14ac:dyDescent="0.25">
      <c r="A1" s="1" t="s">
        <v>17</v>
      </c>
      <c r="C1" s="1" t="s">
        <v>18</v>
      </c>
    </row>
    <row r="2" spans="1:15" x14ac:dyDescent="0.25">
      <c r="B2" s="1" t="s">
        <v>12</v>
      </c>
      <c r="D2" s="1" t="s">
        <v>13</v>
      </c>
      <c r="I2" s="1" t="s">
        <v>13</v>
      </c>
      <c r="K2" s="1" t="s">
        <v>19</v>
      </c>
      <c r="M2" s="1" t="s">
        <v>13</v>
      </c>
    </row>
    <row r="3" spans="1:15" x14ac:dyDescent="0.25">
      <c r="B3" s="1">
        <v>2013</v>
      </c>
      <c r="C3" s="1">
        <v>2024</v>
      </c>
      <c r="D3" s="1">
        <v>2013</v>
      </c>
      <c r="E3" s="1">
        <v>2024</v>
      </c>
      <c r="F3" s="1" t="s">
        <v>16</v>
      </c>
      <c r="H3" s="1">
        <v>1994</v>
      </c>
      <c r="I3" s="1">
        <v>1994</v>
      </c>
      <c r="K3" s="1">
        <v>2013</v>
      </c>
      <c r="L3" s="1">
        <v>2024</v>
      </c>
      <c r="M3" s="1">
        <v>2013</v>
      </c>
      <c r="N3" s="1">
        <v>2024</v>
      </c>
      <c r="O3" s="1" t="s">
        <v>16</v>
      </c>
    </row>
    <row r="4" spans="1:15" x14ac:dyDescent="0.25">
      <c r="B4" s="1" t="s">
        <v>14</v>
      </c>
      <c r="C4" s="1" t="s">
        <v>14</v>
      </c>
      <c r="K4" s="1" t="s">
        <v>22</v>
      </c>
      <c r="L4" s="1" t="s">
        <v>22</v>
      </c>
    </row>
    <row r="5" spans="1:15" x14ac:dyDescent="0.25">
      <c r="A5" s="1" t="s">
        <v>0</v>
      </c>
      <c r="B5" s="1">
        <v>102799.8</v>
      </c>
      <c r="C5" s="1">
        <v>110990.39999999999</v>
      </c>
      <c r="F5" s="3">
        <f>C5/B5</f>
        <v>1.079675252286483</v>
      </c>
      <c r="H5" s="1">
        <v>84526.399999999994</v>
      </c>
      <c r="K5" s="5">
        <v>4615466.9033035096</v>
      </c>
      <c r="L5" s="5">
        <v>3643291.1659560972</v>
      </c>
      <c r="O5" s="3">
        <f>L5/K5</f>
        <v>0.78936567898437748</v>
      </c>
    </row>
    <row r="6" spans="1:15" x14ac:dyDescent="0.25">
      <c r="A6" s="1" t="s">
        <v>1</v>
      </c>
      <c r="B6" s="1">
        <v>2376.1</v>
      </c>
      <c r="C6" s="1">
        <v>2112.6999999999998</v>
      </c>
      <c r="D6" s="3">
        <f>B6/B$5</f>
        <v>2.3113858198167699E-2</v>
      </c>
      <c r="E6" s="3">
        <f>C6/C$5</f>
        <v>1.9034979601839436E-2</v>
      </c>
      <c r="F6" s="3">
        <f>C6/B6</f>
        <v>0.8891460797104499</v>
      </c>
      <c r="H6" s="1">
        <v>3254</v>
      </c>
      <c r="I6" s="3">
        <f>H6/H$5</f>
        <v>3.8496848321944388E-2</v>
      </c>
      <c r="K6" s="5">
        <v>353579.34419738466</v>
      </c>
      <c r="L6" s="5">
        <v>266519.63314241328</v>
      </c>
      <c r="M6" s="3">
        <f>K6/K$5</f>
        <v>7.6607492070696268E-2</v>
      </c>
      <c r="N6" s="3">
        <f t="shared" ref="N6:N16" si="0">L6/L$5</f>
        <v>7.3153536459793597E-2</v>
      </c>
      <c r="O6" s="3">
        <f>L6/K6</f>
        <v>0.75377602655891984</v>
      </c>
    </row>
    <row r="7" spans="1:15" x14ac:dyDescent="0.25">
      <c r="A7" s="1" t="s">
        <v>2</v>
      </c>
      <c r="B7" s="1">
        <v>9415.6</v>
      </c>
      <c r="C7" s="1">
        <v>11544.8</v>
      </c>
      <c r="D7" s="3">
        <f t="shared" ref="D7:E16" si="1">B7/B$5</f>
        <v>9.1591617882525067E-2</v>
      </c>
      <c r="E7" s="3">
        <f t="shared" si="1"/>
        <v>0.10401620320315991</v>
      </c>
      <c r="F7" s="3">
        <f t="shared" ref="F7:F18" si="2">C7/B7</f>
        <v>1.2261353498449381</v>
      </c>
      <c r="H7" s="1">
        <v>6144.2</v>
      </c>
      <c r="I7" s="3">
        <f t="shared" ref="I7:I16" si="3">H7/H$5</f>
        <v>7.2689715875750058E-2</v>
      </c>
      <c r="K7" s="5">
        <v>894616.02545879968</v>
      </c>
      <c r="L7" s="5">
        <v>705067.04260245257</v>
      </c>
      <c r="M7" s="3">
        <f t="shared" ref="M7:M16" si="4">K7/K$5</f>
        <v>0.1938300163778621</v>
      </c>
      <c r="N7" s="3">
        <f t="shared" si="0"/>
        <v>0.19352475838077138</v>
      </c>
      <c r="O7" s="3">
        <f t="shared" ref="O7:O18" si="5">L7/K7</f>
        <v>0.78812252691411622</v>
      </c>
    </row>
    <row r="8" spans="1:15" x14ac:dyDescent="0.25">
      <c r="A8" s="1" t="s">
        <v>3</v>
      </c>
      <c r="B8" s="1">
        <v>9143.5</v>
      </c>
      <c r="C8" s="1">
        <v>2977.8</v>
      </c>
      <c r="D8" s="3">
        <f t="shared" si="1"/>
        <v>8.8944725573396055E-2</v>
      </c>
      <c r="E8" s="3">
        <f t="shared" si="1"/>
        <v>2.6829347403018643E-2</v>
      </c>
      <c r="F8" s="3">
        <f t="shared" si="2"/>
        <v>0.32567397604855913</v>
      </c>
      <c r="H8" s="1">
        <v>10048.1</v>
      </c>
      <c r="I8" s="3">
        <f t="shared" si="3"/>
        <v>0.11887528630108464</v>
      </c>
      <c r="K8" s="5">
        <v>44089.027593151819</v>
      </c>
      <c r="L8" s="5">
        <v>31508.106261927569</v>
      </c>
      <c r="M8" s="3">
        <f t="shared" si="4"/>
        <v>9.5524523340412646E-3</v>
      </c>
      <c r="N8" s="3">
        <f t="shared" si="0"/>
        <v>8.648253687859998E-3</v>
      </c>
      <c r="O8" s="3">
        <f t="shared" si="5"/>
        <v>0.71464733930356861</v>
      </c>
    </row>
    <row r="9" spans="1:15" x14ac:dyDescent="0.25">
      <c r="A9" s="1" t="s">
        <v>4</v>
      </c>
      <c r="B9" s="1">
        <v>3467.4</v>
      </c>
      <c r="C9" s="4">
        <v>2415.3000000000002</v>
      </c>
      <c r="D9" s="3">
        <f t="shared" si="1"/>
        <v>3.3729637606298844E-2</v>
      </c>
      <c r="E9" s="3">
        <f t="shared" si="1"/>
        <v>2.1761341521428883E-2</v>
      </c>
      <c r="F9" s="3">
        <f t="shared" si="2"/>
        <v>0.69657380169579519</v>
      </c>
      <c r="H9" s="1">
        <v>4748.3</v>
      </c>
      <c r="I9" s="3">
        <f t="shared" si="3"/>
        <v>5.617534876677583E-2</v>
      </c>
      <c r="K9" s="5">
        <v>389339.33004600689</v>
      </c>
      <c r="L9" s="5">
        <v>305529.73648086912</v>
      </c>
      <c r="M9" s="3">
        <f t="shared" si="4"/>
        <v>8.4355350867609549E-2</v>
      </c>
      <c r="N9" s="3">
        <f t="shared" si="0"/>
        <v>8.3860916562426308E-2</v>
      </c>
      <c r="O9" s="3">
        <f t="shared" si="5"/>
        <v>0.78473894852792225</v>
      </c>
    </row>
    <row r="10" spans="1:15" x14ac:dyDescent="0.25">
      <c r="A10" s="1" t="s">
        <v>5</v>
      </c>
      <c r="B10" s="1">
        <v>9516.7999999999993</v>
      </c>
      <c r="C10" s="4">
        <v>7487.9</v>
      </c>
      <c r="D10" s="3">
        <f t="shared" si="1"/>
        <v>9.2576055595438897E-2</v>
      </c>
      <c r="E10" s="3">
        <f t="shared" si="1"/>
        <v>6.7464393316899476E-2</v>
      </c>
      <c r="F10" s="3">
        <f t="shared" si="2"/>
        <v>0.78680859112306656</v>
      </c>
      <c r="H10" s="1">
        <v>14699.4</v>
      </c>
      <c r="I10" s="3">
        <f t="shared" si="3"/>
        <v>0.1739030646046679</v>
      </c>
      <c r="K10" s="5">
        <v>1539988.1578376042</v>
      </c>
      <c r="L10" s="5">
        <v>1484805.4322385364</v>
      </c>
      <c r="M10" s="3">
        <f t="shared" si="4"/>
        <v>0.3336581520572407</v>
      </c>
      <c r="N10" s="3">
        <f t="shared" si="0"/>
        <v>0.40754509167781094</v>
      </c>
      <c r="O10" s="3">
        <f t="shared" si="5"/>
        <v>0.96416678575207138</v>
      </c>
    </row>
    <row r="11" spans="1:15" x14ac:dyDescent="0.25">
      <c r="A11" s="2" t="s">
        <v>6</v>
      </c>
      <c r="B11" s="1">
        <f>B5-SUM(B6:B10)</f>
        <v>68880.399999999994</v>
      </c>
      <c r="C11" s="1">
        <f>C5-SUM(C6:C10)</f>
        <v>84451.9</v>
      </c>
      <c r="D11" s="3">
        <f t="shared" si="1"/>
        <v>0.67004410514417334</v>
      </c>
      <c r="E11" s="3">
        <f t="shared" si="1"/>
        <v>0.76089373495365364</v>
      </c>
      <c r="F11" s="3">
        <f t="shared" si="2"/>
        <v>1.226065760361438</v>
      </c>
      <c r="H11" s="1">
        <f>H5-SUM(H6:H10)</f>
        <v>45632.399999999994</v>
      </c>
      <c r="I11" s="3">
        <f t="shared" si="3"/>
        <v>0.53985973612977722</v>
      </c>
      <c r="K11" s="5">
        <f>K5-SUM(K6:K10)</f>
        <v>1393855.0181705626</v>
      </c>
      <c r="L11" s="5">
        <f>L5-SUM(L6:L10)</f>
        <v>849861.21522989823</v>
      </c>
      <c r="M11" s="3">
        <f t="shared" si="4"/>
        <v>0.30199653629255019</v>
      </c>
      <c r="N11" s="3">
        <f t="shared" si="0"/>
        <v>0.23326744323133775</v>
      </c>
      <c r="O11" s="3">
        <f t="shared" si="5"/>
        <v>0.60971995232713849</v>
      </c>
    </row>
    <row r="12" spans="1:15" x14ac:dyDescent="0.25">
      <c r="A12" s="1" t="s">
        <v>7</v>
      </c>
      <c r="B12" s="1">
        <v>3481.6</v>
      </c>
      <c r="C12" s="1">
        <v>7366.5</v>
      </c>
      <c r="D12" s="3">
        <f t="shared" si="1"/>
        <v>3.3867770170759086E-2</v>
      </c>
      <c r="E12" s="3">
        <f t="shared" si="1"/>
        <v>6.6370605025299484E-2</v>
      </c>
      <c r="F12" s="3">
        <f t="shared" si="2"/>
        <v>2.1158375459558822</v>
      </c>
      <c r="H12" s="1">
        <v>500.9</v>
      </c>
      <c r="I12" s="3">
        <f t="shared" si="3"/>
        <v>5.9259592269397489E-3</v>
      </c>
      <c r="K12" s="5">
        <v>106648.85626804974</v>
      </c>
      <c r="L12" s="5">
        <v>90332.725355875649</v>
      </c>
      <c r="M12" s="3">
        <f t="shared" si="4"/>
        <v>2.3106840218422121E-2</v>
      </c>
      <c r="N12" s="3">
        <f t="shared" si="0"/>
        <v>2.4794264647297254E-2</v>
      </c>
      <c r="O12" s="3">
        <f t="shared" si="5"/>
        <v>0.84701072769908237</v>
      </c>
    </row>
    <row r="13" spans="1:15" x14ac:dyDescent="0.25">
      <c r="A13" s="1" t="s">
        <v>8</v>
      </c>
      <c r="B13" s="1">
        <v>5371.3</v>
      </c>
      <c r="C13" s="1">
        <v>6310.7</v>
      </c>
      <c r="D13" s="3">
        <f t="shared" si="1"/>
        <v>5.2250101653894265E-2</v>
      </c>
      <c r="E13" s="3">
        <f t="shared" si="1"/>
        <v>5.6858070607908436E-2</v>
      </c>
      <c r="F13" s="3">
        <f t="shared" si="2"/>
        <v>1.1748924841286095</v>
      </c>
      <c r="H13" s="1">
        <v>4325.7</v>
      </c>
      <c r="I13" s="3">
        <f t="shared" si="3"/>
        <v>5.1175727346722447E-2</v>
      </c>
      <c r="K13" s="5">
        <v>40403.976732454437</v>
      </c>
      <c r="L13" s="5">
        <v>29480.695019069823</v>
      </c>
      <c r="M13" s="3">
        <f t="shared" si="4"/>
        <v>8.7540388825094566E-3</v>
      </c>
      <c r="N13" s="3">
        <f t="shared" si="0"/>
        <v>8.0917757259001011E-3</v>
      </c>
      <c r="O13" s="3">
        <f t="shared" si="5"/>
        <v>0.72964835155420471</v>
      </c>
    </row>
    <row r="14" spans="1:15" x14ac:dyDescent="0.25">
      <c r="A14" s="1" t="s">
        <v>9</v>
      </c>
      <c r="B14" s="1">
        <v>3499.9</v>
      </c>
      <c r="C14" s="1">
        <v>1973.5</v>
      </c>
      <c r="D14" s="3">
        <f t="shared" si="1"/>
        <v>3.4045786081295881E-2</v>
      </c>
      <c r="E14" s="3">
        <f t="shared" si="1"/>
        <v>1.7780817079675361E-2</v>
      </c>
      <c r="F14" s="3">
        <f t="shared" si="2"/>
        <v>0.56387325352152917</v>
      </c>
      <c r="H14" s="1">
        <v>748.5</v>
      </c>
      <c r="I14" s="3">
        <f t="shared" si="3"/>
        <v>8.8552215639137594E-3</v>
      </c>
      <c r="K14" s="5">
        <v>18509.554692960435</v>
      </c>
      <c r="L14" s="5">
        <v>16368.222803724224</v>
      </c>
      <c r="M14" s="3">
        <f t="shared" si="4"/>
        <v>4.0103320164016918E-3</v>
      </c>
      <c r="N14" s="3">
        <f t="shared" si="0"/>
        <v>4.4927023556814083E-3</v>
      </c>
      <c r="O14" s="3">
        <f t="shared" si="5"/>
        <v>0.8843120796390308</v>
      </c>
    </row>
    <row r="15" spans="1:15" x14ac:dyDescent="0.25">
      <c r="A15" s="1" t="s">
        <v>10</v>
      </c>
      <c r="B15" s="1">
        <v>14187.2</v>
      </c>
      <c r="C15" s="1">
        <v>17848.7</v>
      </c>
      <c r="D15" s="3">
        <f t="shared" si="1"/>
        <v>0.13800805059932023</v>
      </c>
      <c r="E15" s="3">
        <f t="shared" si="1"/>
        <v>0.16081300725107758</v>
      </c>
      <c r="F15" s="3">
        <f t="shared" si="2"/>
        <v>1.2580847524529153</v>
      </c>
      <c r="H15" s="1">
        <v>10581</v>
      </c>
      <c r="I15" s="3">
        <f t="shared" si="3"/>
        <v>0.12517982547464462</v>
      </c>
      <c r="K15" s="5">
        <v>153283.16928561218</v>
      </c>
      <c r="L15" s="5">
        <v>142509.65563974495</v>
      </c>
      <c r="M15" s="3">
        <f t="shared" si="4"/>
        <v>3.321076122892358E-2</v>
      </c>
      <c r="N15" s="3">
        <f t="shared" si="0"/>
        <v>3.9115637248923141E-2</v>
      </c>
      <c r="O15" s="3">
        <f t="shared" si="5"/>
        <v>0.92971496025246603</v>
      </c>
    </row>
    <row r="16" spans="1:15" x14ac:dyDescent="0.25">
      <c r="A16" s="2" t="s">
        <v>11</v>
      </c>
      <c r="B16" s="1">
        <f>B5-SUM(B6:B10)-SUM(B12:B15)</f>
        <v>42340.399999999994</v>
      </c>
      <c r="C16" s="1">
        <f>C5-SUM(C6:C10)-SUM(C12:C15)</f>
        <v>50952.499999999993</v>
      </c>
      <c r="D16" s="3">
        <f t="shared" si="1"/>
        <v>0.4118723966389039</v>
      </c>
      <c r="E16" s="3">
        <f t="shared" si="1"/>
        <v>0.45907123498969277</v>
      </c>
      <c r="F16" s="3">
        <f t="shared" si="2"/>
        <v>1.2034014794380781</v>
      </c>
      <c r="H16" s="1">
        <f>H5-SUM(H6:H10)-SUM(H12:H15)</f>
        <v>29476.299999999996</v>
      </c>
      <c r="I16" s="3">
        <f t="shared" si="3"/>
        <v>0.34872300251755661</v>
      </c>
      <c r="K16" s="5">
        <f>K5-SUM(K6:K10)-SUM(K12:K15)</f>
        <v>1075009.4611914856</v>
      </c>
      <c r="L16" s="5">
        <f>L5-SUM(L6:L10)-SUM(L12:L15)</f>
        <v>571169.91641148354</v>
      </c>
      <c r="M16" s="3">
        <f t="shared" si="4"/>
        <v>0.23291456394629331</v>
      </c>
      <c r="N16" s="3">
        <f t="shared" si="0"/>
        <v>0.15677306325353582</v>
      </c>
      <c r="O16" s="3">
        <f t="shared" si="5"/>
        <v>0.5313161763045583</v>
      </c>
    </row>
    <row r="17" spans="1:15" x14ac:dyDescent="0.25">
      <c r="K17" s="5"/>
      <c r="L17" s="5"/>
    </row>
    <row r="18" spans="1:15" x14ac:dyDescent="0.25">
      <c r="A18" s="1" t="s">
        <v>15</v>
      </c>
      <c r="B18" s="1">
        <v>547987.1</v>
      </c>
      <c r="C18" s="1">
        <v>584471.1</v>
      </c>
      <c r="F18" s="3">
        <f t="shared" si="2"/>
        <v>1.0665782095965397</v>
      </c>
      <c r="H18" s="1">
        <v>464267.4</v>
      </c>
      <c r="K18" s="5">
        <v>14065271.639430869</v>
      </c>
      <c r="L18" s="5">
        <v>10154062.816701908</v>
      </c>
      <c r="O18" s="3">
        <f t="shared" si="5"/>
        <v>0.72192440196005891</v>
      </c>
    </row>
    <row r="21" spans="1:15" x14ac:dyDescent="0.25">
      <c r="B21" s="1" t="s">
        <v>21</v>
      </c>
      <c r="F21" s="1" t="s">
        <v>35</v>
      </c>
    </row>
    <row r="22" spans="1:15" x14ac:dyDescent="0.25">
      <c r="B22" s="1">
        <v>2013</v>
      </c>
      <c r="C22" s="1">
        <v>2024</v>
      </c>
      <c r="D22" s="1" t="s">
        <v>16</v>
      </c>
      <c r="F22" s="1">
        <v>2013</v>
      </c>
      <c r="G22" s="1">
        <v>2024</v>
      </c>
      <c r="H22" s="1" t="s">
        <v>16</v>
      </c>
    </row>
    <row r="23" spans="1:15" x14ac:dyDescent="0.25">
      <c r="B23" s="1" t="s">
        <v>23</v>
      </c>
      <c r="C23" s="1" t="s">
        <v>23</v>
      </c>
    </row>
    <row r="24" spans="1:15" x14ac:dyDescent="0.25">
      <c r="A24" s="1" t="s">
        <v>0</v>
      </c>
      <c r="B24" s="6">
        <f>B5/K5</f>
        <v>2.2272892895499108E-2</v>
      </c>
      <c r="C24" s="6">
        <f>C5/L5</f>
        <v>3.0464323312153707E-2</v>
      </c>
      <c r="D24" s="3">
        <f>C24/B24</f>
        <v>1.3677757736764369</v>
      </c>
    </row>
    <row r="25" spans="1:15" x14ac:dyDescent="0.25">
      <c r="A25" s="1" t="s">
        <v>1</v>
      </c>
      <c r="B25" s="6">
        <f t="shared" ref="B25:C25" si="6">B6/K6</f>
        <v>6.7201323804524874E-3</v>
      </c>
      <c r="C25" s="6">
        <f t="shared" si="6"/>
        <v>7.9269957529586217E-3</v>
      </c>
      <c r="D25" s="3">
        <f t="shared" ref="D25:D35" si="7">C25/B25</f>
        <v>1.1795892259528484</v>
      </c>
      <c r="F25" s="1">
        <v>2406</v>
      </c>
      <c r="G25" s="1">
        <v>1952</v>
      </c>
      <c r="H25" s="3">
        <f>G25/F25</f>
        <v>0.81130507065669155</v>
      </c>
      <c r="I25" s="1" t="s">
        <v>24</v>
      </c>
      <c r="J25" s="1" t="s">
        <v>25</v>
      </c>
    </row>
    <row r="26" spans="1:15" x14ac:dyDescent="0.25">
      <c r="A26" s="1" t="s">
        <v>2</v>
      </c>
      <c r="B26" s="6">
        <f t="shared" ref="B26:C26" si="8">B7/K7</f>
        <v>1.0524738806429556E-2</v>
      </c>
      <c r="C26" s="6">
        <f t="shared" si="8"/>
        <v>1.6374045732427546E-2</v>
      </c>
      <c r="D26" s="3">
        <f t="shared" si="7"/>
        <v>1.5557674193705076</v>
      </c>
      <c r="H26" s="3">
        <v>0.84299999999999997</v>
      </c>
      <c r="I26" s="1" t="s">
        <v>27</v>
      </c>
      <c r="J26" s="1" t="s">
        <v>26</v>
      </c>
    </row>
    <row r="27" spans="1:15" x14ac:dyDescent="0.25">
      <c r="A27" s="1" t="s">
        <v>3</v>
      </c>
      <c r="B27" s="6">
        <f t="shared" ref="B27:C27" si="9">B8/K8</f>
        <v>0.20738720037953901</v>
      </c>
      <c r="C27" s="6">
        <f t="shared" si="9"/>
        <v>9.4509012228328942E-2</v>
      </c>
      <c r="D27" s="3">
        <f t="shared" si="7"/>
        <v>0.45571285043323861</v>
      </c>
      <c r="G27" s="1">
        <v>7901</v>
      </c>
      <c r="H27" s="3"/>
    </row>
    <row r="28" spans="1:15" x14ac:dyDescent="0.25">
      <c r="A28" s="1" t="s">
        <v>4</v>
      </c>
      <c r="B28" s="6">
        <f t="shared" ref="B28:C28" si="10">B9/K9</f>
        <v>8.9058559781008233E-3</v>
      </c>
      <c r="C28" s="6">
        <f t="shared" si="10"/>
        <v>7.9052861689331358E-3</v>
      </c>
      <c r="D28" s="3">
        <f t="shared" si="7"/>
        <v>0.88765034920528108</v>
      </c>
      <c r="F28" s="1">
        <v>6224</v>
      </c>
      <c r="G28" s="1">
        <v>4575</v>
      </c>
      <c r="H28" s="3">
        <f>G28/F28</f>
        <v>0.73505784061696655</v>
      </c>
      <c r="I28" s="1" t="s">
        <v>24</v>
      </c>
      <c r="J28" s="1" t="s">
        <v>32</v>
      </c>
    </row>
    <row r="29" spans="1:15" x14ac:dyDescent="0.25">
      <c r="A29" s="1" t="s">
        <v>5</v>
      </c>
      <c r="B29" s="6">
        <f t="shared" ref="B29:C29" si="11">B10/K10</f>
        <v>6.1797877805522521E-3</v>
      </c>
      <c r="C29" s="6">
        <f t="shared" si="11"/>
        <v>5.0430176489259073E-3</v>
      </c>
      <c r="D29" s="3">
        <f t="shared" si="7"/>
        <v>0.81605029622477454</v>
      </c>
      <c r="H29" s="3">
        <v>0.72799999999999998</v>
      </c>
      <c r="I29" s="1" t="s">
        <v>31</v>
      </c>
      <c r="J29" s="1" t="s">
        <v>28</v>
      </c>
    </row>
    <row r="30" spans="1:15" x14ac:dyDescent="0.25">
      <c r="A30" s="1" t="s">
        <v>6</v>
      </c>
      <c r="B30" s="6">
        <f t="shared" ref="B30:C30" si="12">B11/K11</f>
        <v>4.941719124447079E-2</v>
      </c>
      <c r="C30" s="6">
        <f t="shared" si="12"/>
        <v>9.9371401455418437E-2</v>
      </c>
      <c r="D30" s="3">
        <f t="shared" si="7"/>
        <v>2.0108670475385817</v>
      </c>
      <c r="H30" s="3"/>
    </row>
    <row r="31" spans="1:15" x14ac:dyDescent="0.25">
      <c r="A31" s="1" t="s">
        <v>7</v>
      </c>
      <c r="B31" s="6">
        <f t="shared" ref="B31:C31" si="13">B12/K12</f>
        <v>3.2645450892125796E-2</v>
      </c>
      <c r="C31" s="6">
        <f t="shared" si="13"/>
        <v>8.1548519332045696E-2</v>
      </c>
      <c r="D31" s="3">
        <f t="shared" si="7"/>
        <v>2.498005605789182</v>
      </c>
      <c r="H31" s="3">
        <v>1.244</v>
      </c>
      <c r="I31" s="1" t="s">
        <v>29</v>
      </c>
      <c r="J31" s="1" t="s">
        <v>30</v>
      </c>
    </row>
    <row r="32" spans="1:15" x14ac:dyDescent="0.25">
      <c r="A32" s="1" t="s">
        <v>8</v>
      </c>
      <c r="B32" s="6">
        <f t="shared" ref="B32:C32" si="14">B13/K13</f>
        <v>0.13293988449620878</v>
      </c>
      <c r="C32" s="6">
        <f t="shared" si="14"/>
        <v>0.2140621174608629</v>
      </c>
      <c r="D32" s="3">
        <f t="shared" si="7"/>
        <v>1.6102174172339347</v>
      </c>
      <c r="H32" s="3">
        <v>1.244</v>
      </c>
      <c r="I32" s="1" t="s">
        <v>29</v>
      </c>
      <c r="J32" s="1" t="s">
        <v>30</v>
      </c>
    </row>
    <row r="33" spans="1:10" x14ac:dyDescent="0.25">
      <c r="A33" s="1" t="s">
        <v>9</v>
      </c>
      <c r="B33" s="6">
        <f t="shared" ref="B33:C33" si="15">B14/K14</f>
        <v>0.18908612649288015</v>
      </c>
      <c r="C33" s="6">
        <f t="shared" si="15"/>
        <v>0.1205689844074565</v>
      </c>
      <c r="D33" s="3">
        <f t="shared" si="7"/>
        <v>0.63764056434884142</v>
      </c>
      <c r="H33" s="3"/>
    </row>
    <row r="34" spans="1:10" x14ac:dyDescent="0.25">
      <c r="A34" s="1" t="s">
        <v>10</v>
      </c>
      <c r="B34" s="6">
        <f t="shared" ref="B34:C34" si="16">B15/K15</f>
        <v>9.2555497554757782E-2</v>
      </c>
      <c r="C34" s="6">
        <f t="shared" si="16"/>
        <v>0.1252455485901976</v>
      </c>
      <c r="D34" s="3">
        <f t="shared" si="7"/>
        <v>1.3531940500465647</v>
      </c>
      <c r="F34" s="1">
        <v>19.5</v>
      </c>
      <c r="G34" s="1">
        <v>27.7</v>
      </c>
      <c r="H34" s="3">
        <f>G34/F34</f>
        <v>1.4205128205128206</v>
      </c>
      <c r="I34" s="1" t="s">
        <v>33</v>
      </c>
      <c r="J34" s="1" t="s">
        <v>34</v>
      </c>
    </row>
    <row r="35" spans="1:10" x14ac:dyDescent="0.25">
      <c r="A35" s="1" t="s">
        <v>11</v>
      </c>
      <c r="B35" s="6">
        <f t="shared" ref="B35:C37" si="17">B16/K16</f>
        <v>3.938607196356398E-2</v>
      </c>
      <c r="C35" s="6">
        <f t="shared" si="17"/>
        <v>8.9207254331813715E-2</v>
      </c>
      <c r="D35" s="3">
        <f t="shared" si="7"/>
        <v>2.2649441765693026</v>
      </c>
    </row>
    <row r="37" spans="1:10" x14ac:dyDescent="0.25">
      <c r="A37" s="1" t="s">
        <v>20</v>
      </c>
      <c r="B37" s="6">
        <f t="shared" si="17"/>
        <v>3.8960292701618486E-2</v>
      </c>
      <c r="C37" s="6">
        <f t="shared" si="17"/>
        <v>5.7560319504684654E-2</v>
      </c>
      <c r="D37" s="3">
        <f>C37/B37</f>
        <v>1.4774098322493734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36B4A-64C4-C349-B412-39B51425D239}">
  <dimension ref="A1:E14"/>
  <sheetViews>
    <sheetView tabSelected="1" workbookViewId="0">
      <selection activeCell="D14" sqref="D14"/>
    </sheetView>
  </sheetViews>
  <sheetFormatPr baseColWidth="10" defaultRowHeight="18" x14ac:dyDescent="0.25"/>
  <cols>
    <col min="1" max="16384" width="10.83203125" style="1"/>
  </cols>
  <sheetData>
    <row r="1" spans="1:5" x14ac:dyDescent="0.25">
      <c r="A1" s="1" t="s">
        <v>36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 x14ac:dyDescent="0.25">
      <c r="A2" s="1" t="s">
        <v>15</v>
      </c>
      <c r="B2" s="7">
        <v>1.0665782095965397</v>
      </c>
      <c r="C2" s="7">
        <v>1.4774098322493734</v>
      </c>
      <c r="E2" s="1">
        <v>0.72192440196005891</v>
      </c>
    </row>
    <row r="3" spans="1:5" x14ac:dyDescent="0.25">
      <c r="A3" s="1" t="s">
        <v>0</v>
      </c>
      <c r="B3" s="7">
        <v>1.079675252286483</v>
      </c>
      <c r="C3" s="7">
        <v>1.3677757736764369</v>
      </c>
      <c r="E3" s="1">
        <v>0.78936567898437748</v>
      </c>
    </row>
    <row r="4" spans="1:5" x14ac:dyDescent="0.25">
      <c r="A4" s="1" t="s">
        <v>1</v>
      </c>
      <c r="B4" s="7">
        <v>0.8891460797104499</v>
      </c>
      <c r="C4" s="7">
        <v>1.1795892259528484</v>
      </c>
      <c r="D4" s="7">
        <v>0.81130507065669155</v>
      </c>
      <c r="E4" s="1">
        <v>0.75377602655891984</v>
      </c>
    </row>
    <row r="5" spans="1:5" x14ac:dyDescent="0.25">
      <c r="A5" s="1" t="s">
        <v>2</v>
      </c>
      <c r="B5" s="7">
        <v>1.2261353498449381</v>
      </c>
      <c r="C5" s="7">
        <v>1.5557674193705076</v>
      </c>
      <c r="D5" s="7">
        <v>0.84299999999999997</v>
      </c>
      <c r="E5" s="1">
        <v>0.78812252691411622</v>
      </c>
    </row>
    <row r="6" spans="1:5" x14ac:dyDescent="0.25">
      <c r="A6" s="1" t="s">
        <v>3</v>
      </c>
      <c r="B6" s="7">
        <v>0.32567397604855913</v>
      </c>
      <c r="C6" s="7">
        <v>0.45571285043323861</v>
      </c>
      <c r="D6" s="7"/>
      <c r="E6" s="1">
        <v>0.71464733930356861</v>
      </c>
    </row>
    <row r="7" spans="1:5" x14ac:dyDescent="0.25">
      <c r="A7" s="1" t="s">
        <v>4</v>
      </c>
      <c r="B7" s="7">
        <v>0.69657380169579519</v>
      </c>
      <c r="C7" s="7">
        <v>0.88765034920528108</v>
      </c>
      <c r="D7" s="7">
        <v>0.73505784061696655</v>
      </c>
      <c r="E7" s="1">
        <v>0.78473894852792225</v>
      </c>
    </row>
    <row r="8" spans="1:5" x14ac:dyDescent="0.25">
      <c r="A8" s="1" t="s">
        <v>5</v>
      </c>
      <c r="B8" s="7">
        <v>0.78680859112306656</v>
      </c>
      <c r="C8" s="7">
        <v>0.81605029622477454</v>
      </c>
      <c r="D8" s="7">
        <v>0.72799999999999998</v>
      </c>
      <c r="E8" s="1">
        <v>0.96416678575207138</v>
      </c>
    </row>
    <row r="9" spans="1:5" x14ac:dyDescent="0.25">
      <c r="A9" s="2" t="s">
        <v>6</v>
      </c>
      <c r="B9" s="7">
        <v>1.226065760361438</v>
      </c>
      <c r="C9" s="7">
        <v>2.0108670475385817</v>
      </c>
      <c r="D9" s="7"/>
      <c r="E9" s="1">
        <v>0.60971995232713849</v>
      </c>
    </row>
    <row r="10" spans="1:5" x14ac:dyDescent="0.25">
      <c r="A10" s="1" t="s">
        <v>7</v>
      </c>
      <c r="B10" s="7">
        <v>2.1158375459558822</v>
      </c>
      <c r="C10" s="7">
        <v>2.498005605789182</v>
      </c>
      <c r="D10" s="7">
        <v>1.244</v>
      </c>
      <c r="E10" s="1">
        <v>0.84701072769908237</v>
      </c>
    </row>
    <row r="11" spans="1:5" x14ac:dyDescent="0.25">
      <c r="A11" s="1" t="s">
        <v>8</v>
      </c>
      <c r="B11" s="7">
        <v>1.1748924841286095</v>
      </c>
      <c r="C11" s="7">
        <v>1.6102174172339347</v>
      </c>
      <c r="D11" s="7">
        <v>1.244</v>
      </c>
      <c r="E11" s="1">
        <v>0.72964835155420471</v>
      </c>
    </row>
    <row r="12" spans="1:5" x14ac:dyDescent="0.25">
      <c r="A12" s="1" t="s">
        <v>9</v>
      </c>
      <c r="B12" s="7">
        <v>0.56387325352152917</v>
      </c>
      <c r="C12" s="7">
        <v>0.63764056434884142</v>
      </c>
      <c r="D12" s="7"/>
      <c r="E12" s="1">
        <v>0.8843120796390308</v>
      </c>
    </row>
    <row r="13" spans="1:5" x14ac:dyDescent="0.25">
      <c r="A13" s="1" t="s">
        <v>10</v>
      </c>
      <c r="B13" s="7">
        <v>1.2580847524529153</v>
      </c>
      <c r="C13" s="7">
        <v>1.3531940500465647</v>
      </c>
      <c r="D13" s="7">
        <v>1.4205128205128206</v>
      </c>
      <c r="E13" s="1">
        <v>0.92971496025246603</v>
      </c>
    </row>
    <row r="14" spans="1:5" x14ac:dyDescent="0.25">
      <c r="A14" s="2" t="s">
        <v>37</v>
      </c>
      <c r="B14" s="7">
        <v>1.2034014794380781</v>
      </c>
      <c r="C14" s="7">
        <v>2.2649441765693026</v>
      </c>
      <c r="E14" s="1">
        <v>0.5313161763045583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for_plot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2026-05-27T06:03:53Z</dcterms:created>
  <dcterms:modified xsi:type="dcterms:W3CDTF">2026-05-28T02:43:57Z</dcterms:modified>
</cp:coreProperties>
</file>