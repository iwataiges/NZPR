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cuments/work/02NZPR/20250429work_NZPR/inputs/ref/"/>
    </mc:Choice>
  </mc:AlternateContent>
  <xr:revisionPtr revIDLastSave="0" documentId="13_ncr:1_{65228D72-873E-3846-8055-33E8BFB70E8A}" xr6:coauthVersionLast="47" xr6:coauthVersionMax="47" xr10:uidLastSave="{00000000-0000-0000-0000-000000000000}"/>
  <bookViews>
    <workbookView xWindow="9600" yWindow="20000" windowWidth="39760" windowHeight="18780" xr2:uid="{167A46BD-1135-BD41-8D44-C6F58BD60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2" i="1" l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M32" i="1"/>
  <c r="H32" i="1"/>
  <c r="M31" i="1"/>
  <c r="H31" i="1"/>
  <c r="M30" i="1"/>
  <c r="H30" i="1"/>
  <c r="M29" i="1"/>
  <c r="H29" i="1"/>
  <c r="M28" i="1"/>
  <c r="H28" i="1"/>
  <c r="M27" i="1"/>
  <c r="H27" i="1"/>
  <c r="M26" i="1"/>
  <c r="H26" i="1"/>
  <c r="M25" i="1"/>
  <c r="H25" i="1"/>
  <c r="M24" i="1"/>
  <c r="H24" i="1"/>
  <c r="M23" i="1"/>
  <c r="H23" i="1"/>
  <c r="M22" i="1"/>
  <c r="H22" i="1"/>
  <c r="M21" i="1"/>
  <c r="H21" i="1"/>
  <c r="M20" i="1"/>
  <c r="H20" i="1"/>
  <c r="M19" i="1"/>
  <c r="H19" i="1"/>
  <c r="M18" i="1"/>
  <c r="H18" i="1"/>
  <c r="M17" i="1"/>
  <c r="H17" i="1"/>
  <c r="M16" i="1"/>
  <c r="H16" i="1"/>
  <c r="M15" i="1"/>
  <c r="H15" i="1"/>
  <c r="M14" i="1"/>
  <c r="H14" i="1"/>
  <c r="M13" i="1"/>
  <c r="H13" i="1"/>
  <c r="M12" i="1"/>
  <c r="H12" i="1"/>
  <c r="M11" i="1"/>
  <c r="H11" i="1"/>
  <c r="M10" i="1"/>
  <c r="H10" i="1"/>
  <c r="M9" i="1"/>
  <c r="H9" i="1"/>
  <c r="M8" i="1"/>
  <c r="H8" i="1"/>
  <c r="M7" i="1"/>
  <c r="H7" i="1"/>
  <c r="M6" i="1"/>
  <c r="H6" i="1"/>
  <c r="M5" i="1"/>
  <c r="H5" i="1"/>
  <c r="M4" i="1"/>
  <c r="H4" i="1"/>
  <c r="M3" i="1"/>
  <c r="H3" i="1"/>
  <c r="M2" i="1"/>
  <c r="H2" i="1"/>
</calcChain>
</file>

<file path=xl/sharedStrings.xml><?xml version="1.0" encoding="utf-8"?>
<sst xmlns="http://schemas.openxmlformats.org/spreadsheetml/2006/main" count="18" uniqueCount="18">
  <si>
    <t>製造業</t>
  </si>
  <si>
    <t>パルプ・紙</t>
  </si>
  <si>
    <t>化学</t>
  </si>
  <si>
    <t>石油・石炭製品</t>
  </si>
  <si>
    <t>窯業・土石</t>
  </si>
  <si>
    <t>一次金属</t>
  </si>
  <si>
    <t>素材系以外</t>
  </si>
  <si>
    <t>電子部品・デバイス</t>
  </si>
  <si>
    <t>電気機械</t>
  </si>
  <si>
    <t>情報・通信機器</t>
  </si>
  <si>
    <t>輸送用機械</t>
  </si>
  <si>
    <t>上記以外</t>
  </si>
  <si>
    <t>国内総生産</t>
  </si>
  <si>
    <t>素材系/製造業</t>
  </si>
  <si>
    <t>一次金属/製造業</t>
  </si>
  <si>
    <t>製造業/GDP</t>
  </si>
  <si>
    <t>(素材系-一次金属)/製造業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</si>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</sst>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A4FE-A40C-E549-8D36-8CD016A5D937}">
  <dimension ref="A1:S32"/>
  <sheetViews>
    <sheetView tabSelected="1" workbookViewId="0">
      <selection activeCell="L1" sqref="L1"/>
    </sheetView>
  </sheetViews>
  <sheetFormatPr baseColWidth="10" defaultRowHeight="18" x14ac:dyDescent="0.25"/>
  <cols>
    <col min="1" max="16384" width="10.83203125" style="1"/>
  </cols>
  <sheetData>
    <row r="1" spans="1:19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P1" s="1" t="s">
        <v>13</v>
      </c>
      <c r="Q1" s="1" t="s">
        <v>16</v>
      </c>
      <c r="R1" s="1" t="s">
        <v>14</v>
      </c>
      <c r="S1" s="1" t="s">
        <v>15</v>
      </c>
    </row>
    <row r="2" spans="1:19" x14ac:dyDescent="0.25">
      <c r="A2" s="1">
        <v>1994</v>
      </c>
      <c r="B2" s="1">
        <v>84526.399999999994</v>
      </c>
      <c r="C2" s="1">
        <v>3254</v>
      </c>
      <c r="D2" s="1">
        <v>6144.2</v>
      </c>
      <c r="E2" s="1">
        <v>10048.1</v>
      </c>
      <c r="F2" s="1">
        <v>4748.3</v>
      </c>
      <c r="G2" s="1">
        <v>14699.4</v>
      </c>
      <c r="H2" s="1">
        <f t="shared" ref="H2:H32" si="0">B2-SUM(C2:G2)</f>
        <v>45632.399999999994</v>
      </c>
      <c r="I2" s="1">
        <v>500.9</v>
      </c>
      <c r="J2" s="1">
        <v>4325.7</v>
      </c>
      <c r="K2" s="1">
        <v>748.5</v>
      </c>
      <c r="L2" s="1">
        <v>10581</v>
      </c>
      <c r="M2" s="1">
        <f t="shared" ref="M2:M32" si="1">B2-SUM(C2:G2)-SUM(I2:L2)</f>
        <v>29476.299999999996</v>
      </c>
      <c r="N2" s="1">
        <v>464267.4</v>
      </c>
      <c r="P2" s="1">
        <f>SUM(C2:G2)/B2</f>
        <v>0.46014026387022283</v>
      </c>
      <c r="Q2" s="1">
        <f>SUM(C2:F2)/B2</f>
        <v>0.28623719926555496</v>
      </c>
      <c r="R2" s="1">
        <f>G2/B2</f>
        <v>0.1739030646046679</v>
      </c>
      <c r="S2" s="1">
        <f>B2/N2</f>
        <v>0.182064043264722</v>
      </c>
    </row>
    <row r="3" spans="1:19" x14ac:dyDescent="0.25">
      <c r="A3" s="1">
        <v>1995</v>
      </c>
      <c r="B3" s="1">
        <v>88875.9</v>
      </c>
      <c r="C3" s="1">
        <v>3465.2</v>
      </c>
      <c r="D3" s="1">
        <v>6261.7</v>
      </c>
      <c r="E3" s="1">
        <v>9562.6</v>
      </c>
      <c r="F3" s="1">
        <v>4794.2</v>
      </c>
      <c r="G3" s="1">
        <v>14935.5</v>
      </c>
      <c r="H3" s="1">
        <f t="shared" si="0"/>
        <v>49856.7</v>
      </c>
      <c r="I3" s="1">
        <v>618.6</v>
      </c>
      <c r="J3" s="1">
        <v>4663.5</v>
      </c>
      <c r="K3" s="1">
        <v>868.1</v>
      </c>
      <c r="L3" s="1">
        <v>11126.2</v>
      </c>
      <c r="M3" s="1">
        <f t="shared" si="1"/>
        <v>32580.299999999996</v>
      </c>
      <c r="N3" s="1">
        <v>475140.8</v>
      </c>
      <c r="P3" s="1">
        <f t="shared" ref="P3:P32" si="2">SUM(C3:G3)/B3</f>
        <v>0.43903015328114819</v>
      </c>
      <c r="Q3" s="1">
        <f t="shared" ref="Q3:Q32" si="3">SUM(C3:F3)/B3</f>
        <v>0.27098122213108394</v>
      </c>
      <c r="R3" s="1">
        <f t="shared" ref="R3:R32" si="4">G3/B3</f>
        <v>0.16804893115006431</v>
      </c>
      <c r="S3" s="1">
        <f t="shared" ref="S3:S32" si="5">B3/N3</f>
        <v>0.18705171182941982</v>
      </c>
    </row>
    <row r="4" spans="1:19" x14ac:dyDescent="0.25">
      <c r="A4" s="1">
        <v>1996</v>
      </c>
      <c r="B4" s="1">
        <v>92911.3</v>
      </c>
      <c r="C4" s="1">
        <v>3460.9</v>
      </c>
      <c r="D4" s="1">
        <v>6593.4</v>
      </c>
      <c r="E4" s="1">
        <v>11051.9</v>
      </c>
      <c r="F4" s="1">
        <v>5007.1000000000004</v>
      </c>
      <c r="G4" s="1">
        <v>15032.9</v>
      </c>
      <c r="H4" s="1">
        <f t="shared" si="0"/>
        <v>51765.100000000006</v>
      </c>
      <c r="I4" s="1">
        <v>706.3</v>
      </c>
      <c r="J4" s="1">
        <v>4616.5</v>
      </c>
      <c r="K4" s="1">
        <v>1089.7</v>
      </c>
      <c r="L4" s="1">
        <v>11065.4</v>
      </c>
      <c r="M4" s="1">
        <f t="shared" si="1"/>
        <v>34287.200000000004</v>
      </c>
      <c r="N4" s="1">
        <v>489753.59999999998</v>
      </c>
      <c r="P4" s="1">
        <f t="shared" si="2"/>
        <v>0.44285463662654589</v>
      </c>
      <c r="Q4" s="1">
        <f t="shared" si="3"/>
        <v>0.28105623320306566</v>
      </c>
      <c r="R4" s="1">
        <f t="shared" si="4"/>
        <v>0.16179840342348023</v>
      </c>
      <c r="S4" s="1">
        <f t="shared" si="5"/>
        <v>0.18971029513616644</v>
      </c>
    </row>
    <row r="5" spans="1:19" x14ac:dyDescent="0.25">
      <c r="A5" s="1">
        <v>1997</v>
      </c>
      <c r="B5" s="1">
        <v>94532.5</v>
      </c>
      <c r="C5" s="1">
        <v>3403.5</v>
      </c>
      <c r="D5" s="1">
        <v>6762.9</v>
      </c>
      <c r="E5" s="1">
        <v>11370.2</v>
      </c>
      <c r="F5" s="1">
        <v>4958.1000000000004</v>
      </c>
      <c r="G5" s="1">
        <v>15608.4</v>
      </c>
      <c r="H5" s="1">
        <f t="shared" si="0"/>
        <v>52429.4</v>
      </c>
      <c r="I5" s="1">
        <v>872.1</v>
      </c>
      <c r="J5" s="1">
        <v>4716.1000000000004</v>
      </c>
      <c r="K5" s="1">
        <v>1185.9000000000001</v>
      </c>
      <c r="L5" s="1">
        <v>10559.1</v>
      </c>
      <c r="M5" s="1">
        <f t="shared" si="1"/>
        <v>35096.199999999997</v>
      </c>
      <c r="N5" s="1">
        <v>496428.79999999999</v>
      </c>
      <c r="P5" s="1">
        <f t="shared" si="2"/>
        <v>0.44538227593684709</v>
      </c>
      <c r="Q5" s="1">
        <f t="shared" si="3"/>
        <v>0.28027080633644513</v>
      </c>
      <c r="R5" s="1">
        <f t="shared" si="4"/>
        <v>0.16511146960040196</v>
      </c>
      <c r="S5" s="1">
        <f t="shared" si="5"/>
        <v>0.19042509217837483</v>
      </c>
    </row>
    <row r="6" spans="1:19" x14ac:dyDescent="0.25">
      <c r="A6" s="1">
        <v>1998</v>
      </c>
      <c r="B6" s="1">
        <v>89869.7</v>
      </c>
      <c r="C6" s="1">
        <v>3313.7</v>
      </c>
      <c r="D6" s="1">
        <v>6432.5</v>
      </c>
      <c r="E6" s="1">
        <v>9571.2000000000007</v>
      </c>
      <c r="F6" s="1">
        <v>4520.6000000000004</v>
      </c>
      <c r="G6" s="1">
        <v>13506.6</v>
      </c>
      <c r="H6" s="1">
        <f t="shared" si="0"/>
        <v>52525.1</v>
      </c>
      <c r="I6" s="1">
        <v>865.6</v>
      </c>
      <c r="J6" s="1">
        <v>4449.5</v>
      </c>
      <c r="K6" s="1">
        <v>1201.3</v>
      </c>
      <c r="L6" s="1">
        <v>10572</v>
      </c>
      <c r="M6" s="1">
        <f t="shared" si="1"/>
        <v>35436.699999999997</v>
      </c>
      <c r="N6" s="1">
        <v>487628.9</v>
      </c>
      <c r="P6" s="1">
        <f t="shared" si="2"/>
        <v>0.41554161191146738</v>
      </c>
      <c r="Q6" s="1">
        <f t="shared" si="3"/>
        <v>0.26525069072223451</v>
      </c>
      <c r="R6" s="1">
        <f t="shared" si="4"/>
        <v>0.15029092118923287</v>
      </c>
      <c r="S6" s="1">
        <f t="shared" si="5"/>
        <v>0.18429937191991697</v>
      </c>
    </row>
    <row r="7" spans="1:19" x14ac:dyDescent="0.25">
      <c r="A7" s="1">
        <v>1999</v>
      </c>
      <c r="B7" s="1">
        <v>87991.5</v>
      </c>
      <c r="C7" s="1">
        <v>3151.3</v>
      </c>
      <c r="D7" s="1">
        <v>6705</v>
      </c>
      <c r="E7" s="1">
        <v>8596.4</v>
      </c>
      <c r="F7" s="1">
        <v>4242</v>
      </c>
      <c r="G7" s="1">
        <v>12842.4</v>
      </c>
      <c r="H7" s="1">
        <f t="shared" si="0"/>
        <v>52454.400000000001</v>
      </c>
      <c r="I7" s="1">
        <v>1008.8</v>
      </c>
      <c r="J7" s="1">
        <v>4220.1000000000004</v>
      </c>
      <c r="K7" s="1">
        <v>1242.5999999999999</v>
      </c>
      <c r="L7" s="1">
        <v>10898.5</v>
      </c>
      <c r="M7" s="1">
        <f t="shared" si="1"/>
        <v>35084.400000000001</v>
      </c>
      <c r="N7" s="1">
        <v>485933.9</v>
      </c>
      <c r="P7" s="1">
        <f t="shared" si="2"/>
        <v>0.40386969195888239</v>
      </c>
      <c r="Q7" s="1">
        <f t="shared" si="3"/>
        <v>0.25791923083479651</v>
      </c>
      <c r="R7" s="1">
        <f t="shared" si="4"/>
        <v>0.14595046112408586</v>
      </c>
      <c r="S7" s="1">
        <f t="shared" si="5"/>
        <v>0.18107709711135608</v>
      </c>
    </row>
    <row r="8" spans="1:19" x14ac:dyDescent="0.25">
      <c r="A8" s="1">
        <v>2000</v>
      </c>
      <c r="B8" s="1">
        <v>93229.4</v>
      </c>
      <c r="C8" s="1">
        <v>3328.3</v>
      </c>
      <c r="D8" s="1">
        <v>6660.2</v>
      </c>
      <c r="E8" s="1">
        <v>8679.9</v>
      </c>
      <c r="F8" s="1">
        <v>4482.3</v>
      </c>
      <c r="G8" s="1">
        <v>14379.5</v>
      </c>
      <c r="H8" s="1">
        <f t="shared" si="0"/>
        <v>55699.199999999997</v>
      </c>
      <c r="I8" s="1">
        <v>1271.7</v>
      </c>
      <c r="J8" s="1">
        <v>4549.1000000000004</v>
      </c>
      <c r="K8" s="1">
        <v>1456.4</v>
      </c>
      <c r="L8" s="1">
        <v>11519</v>
      </c>
      <c r="M8" s="1">
        <f t="shared" si="1"/>
        <v>36903</v>
      </c>
      <c r="N8" s="1">
        <v>500406.6</v>
      </c>
      <c r="P8" s="1">
        <f t="shared" si="2"/>
        <v>0.402557562314034</v>
      </c>
      <c r="Q8" s="1">
        <f t="shared" si="3"/>
        <v>0.24831973604892879</v>
      </c>
      <c r="R8" s="1">
        <f t="shared" si="4"/>
        <v>0.15423782626510521</v>
      </c>
      <c r="S8" s="1">
        <f t="shared" si="5"/>
        <v>0.186307294907781</v>
      </c>
    </row>
    <row r="9" spans="1:19" x14ac:dyDescent="0.25">
      <c r="A9" s="1">
        <v>2001</v>
      </c>
      <c r="B9" s="1">
        <v>89594.1</v>
      </c>
      <c r="C9" s="1">
        <v>3138.6</v>
      </c>
      <c r="D9" s="1">
        <v>6763.5</v>
      </c>
      <c r="E9" s="1">
        <v>8154.4</v>
      </c>
      <c r="F9" s="1">
        <v>4458.1000000000004</v>
      </c>
      <c r="G9" s="1">
        <v>13404.9</v>
      </c>
      <c r="H9" s="1">
        <f t="shared" si="0"/>
        <v>53674.600000000006</v>
      </c>
      <c r="I9" s="1">
        <v>1099.5</v>
      </c>
      <c r="J9" s="1">
        <v>4193.8</v>
      </c>
      <c r="K9" s="1">
        <v>1360.6</v>
      </c>
      <c r="L9" s="1">
        <v>11841.5</v>
      </c>
      <c r="M9" s="1">
        <f t="shared" si="1"/>
        <v>35179.200000000004</v>
      </c>
      <c r="N9" s="1">
        <v>501830.8</v>
      </c>
      <c r="P9" s="1">
        <f t="shared" si="2"/>
        <v>0.4009136762353771</v>
      </c>
      <c r="Q9" s="1">
        <f t="shared" si="3"/>
        <v>0.25129556522137059</v>
      </c>
      <c r="R9" s="1">
        <f t="shared" si="4"/>
        <v>0.14961811101400649</v>
      </c>
      <c r="S9" s="1">
        <f t="shared" si="5"/>
        <v>0.17853447815478846</v>
      </c>
    </row>
    <row r="10" spans="1:19" x14ac:dyDescent="0.25">
      <c r="A10" s="1">
        <v>2002</v>
      </c>
      <c r="B10" s="1">
        <v>87782.7</v>
      </c>
      <c r="C10" s="1">
        <v>2859.6</v>
      </c>
      <c r="D10" s="1">
        <v>6958.3</v>
      </c>
      <c r="E10" s="1">
        <v>7221</v>
      </c>
      <c r="F10" s="1">
        <v>4167.3</v>
      </c>
      <c r="G10" s="1">
        <v>12644.3</v>
      </c>
      <c r="H10" s="1">
        <f t="shared" si="0"/>
        <v>53932.2</v>
      </c>
      <c r="I10" s="1">
        <v>1257.7</v>
      </c>
      <c r="J10" s="1">
        <v>3884.8</v>
      </c>
      <c r="K10" s="1">
        <v>1423.1</v>
      </c>
      <c r="L10" s="1">
        <v>12959.1</v>
      </c>
      <c r="M10" s="1">
        <f t="shared" si="1"/>
        <v>34407.5</v>
      </c>
      <c r="N10" s="1">
        <v>502257.3</v>
      </c>
      <c r="P10" s="1">
        <f t="shared" si="2"/>
        <v>0.38561698375648051</v>
      </c>
      <c r="Q10" s="1">
        <f t="shared" si="3"/>
        <v>0.24157607364549052</v>
      </c>
      <c r="R10" s="1">
        <f t="shared" si="4"/>
        <v>0.14404091011098996</v>
      </c>
      <c r="S10" s="1">
        <f t="shared" si="5"/>
        <v>0.17477635466921038</v>
      </c>
    </row>
    <row r="11" spans="1:19" x14ac:dyDescent="0.25">
      <c r="A11" s="1">
        <v>2003</v>
      </c>
      <c r="B11" s="1">
        <v>91021.2</v>
      </c>
      <c r="C11" s="1">
        <v>2792.4</v>
      </c>
      <c r="D11" s="1">
        <v>7125.9</v>
      </c>
      <c r="E11" s="1">
        <v>6263.3</v>
      </c>
      <c r="F11" s="1">
        <v>4136.3</v>
      </c>
      <c r="G11" s="1">
        <v>13507.4</v>
      </c>
      <c r="H11" s="1">
        <f t="shared" si="0"/>
        <v>57195.9</v>
      </c>
      <c r="I11" s="1">
        <v>1623.3</v>
      </c>
      <c r="J11" s="1">
        <v>4223.6000000000004</v>
      </c>
      <c r="K11" s="1">
        <v>1803.7</v>
      </c>
      <c r="L11" s="1">
        <v>12527.6</v>
      </c>
      <c r="M11" s="1">
        <f t="shared" si="1"/>
        <v>37017.699999999997</v>
      </c>
      <c r="N11" s="1">
        <v>509189</v>
      </c>
      <c r="P11" s="1">
        <f t="shared" si="2"/>
        <v>0.37162001819356366</v>
      </c>
      <c r="Q11" s="1">
        <f t="shared" si="3"/>
        <v>0.22322162309439997</v>
      </c>
      <c r="R11" s="1">
        <f t="shared" si="4"/>
        <v>0.14839839509916372</v>
      </c>
      <c r="S11" s="1">
        <f t="shared" si="5"/>
        <v>0.17875720017518051</v>
      </c>
    </row>
    <row r="12" spans="1:19" x14ac:dyDescent="0.25">
      <c r="A12" s="1">
        <v>2004</v>
      </c>
      <c r="B12" s="1">
        <v>95820.3</v>
      </c>
      <c r="C12" s="1">
        <v>2828.6</v>
      </c>
      <c r="D12" s="1">
        <v>7105.9</v>
      </c>
      <c r="E12" s="1">
        <v>5785.5</v>
      </c>
      <c r="F12" s="1">
        <v>4211.3999999999996</v>
      </c>
      <c r="G12" s="1">
        <v>14552.1</v>
      </c>
      <c r="H12" s="1">
        <f t="shared" si="0"/>
        <v>61336.800000000003</v>
      </c>
      <c r="I12" s="1">
        <v>1965.9</v>
      </c>
      <c r="J12" s="1">
        <v>4545.6000000000004</v>
      </c>
      <c r="K12" s="1">
        <v>2087.6999999999998</v>
      </c>
      <c r="L12" s="1">
        <v>13273.1</v>
      </c>
      <c r="M12" s="1">
        <f t="shared" si="1"/>
        <v>39464.5</v>
      </c>
      <c r="N12" s="1">
        <v>519947.9</v>
      </c>
      <c r="P12" s="1">
        <f t="shared" si="2"/>
        <v>0.35987676932758506</v>
      </c>
      <c r="Q12" s="1">
        <f t="shared" si="3"/>
        <v>0.20800811519062246</v>
      </c>
      <c r="R12" s="1">
        <f t="shared" si="4"/>
        <v>0.15186865413696263</v>
      </c>
      <c r="S12" s="1">
        <f t="shared" si="5"/>
        <v>0.18428827195955594</v>
      </c>
    </row>
    <row r="13" spans="1:19" x14ac:dyDescent="0.25">
      <c r="A13" s="1">
        <v>2005</v>
      </c>
      <c r="B13" s="1">
        <v>99288.5</v>
      </c>
      <c r="C13" s="1">
        <v>3003.2</v>
      </c>
      <c r="D13" s="1">
        <v>6958.5</v>
      </c>
      <c r="E13" s="1">
        <v>5528.9</v>
      </c>
      <c r="F13" s="1">
        <v>4186.7</v>
      </c>
      <c r="G13" s="1">
        <v>15103.7</v>
      </c>
      <c r="H13" s="1">
        <f t="shared" si="0"/>
        <v>64507.5</v>
      </c>
      <c r="I13" s="1">
        <v>2168</v>
      </c>
      <c r="J13" s="1">
        <v>4809.3999999999996</v>
      </c>
      <c r="K13" s="1">
        <v>2299.9</v>
      </c>
      <c r="L13" s="1">
        <v>14646.6</v>
      </c>
      <c r="M13" s="1">
        <f t="shared" si="1"/>
        <v>40583.599999999999</v>
      </c>
      <c r="N13" s="1">
        <v>529558</v>
      </c>
      <c r="P13" s="1">
        <f t="shared" si="2"/>
        <v>0.35030240158729359</v>
      </c>
      <c r="Q13" s="1">
        <f t="shared" si="3"/>
        <v>0.19818307256127346</v>
      </c>
      <c r="R13" s="1">
        <f t="shared" si="4"/>
        <v>0.15211932902602013</v>
      </c>
      <c r="S13" s="1">
        <f t="shared" si="5"/>
        <v>0.18749315466861041</v>
      </c>
    </row>
    <row r="14" spans="1:19" x14ac:dyDescent="0.25">
      <c r="A14" s="1">
        <v>2006</v>
      </c>
      <c r="B14" s="1">
        <v>103235.6</v>
      </c>
      <c r="C14" s="1">
        <v>2855.9</v>
      </c>
      <c r="D14" s="1">
        <v>7192.6</v>
      </c>
      <c r="E14" s="1">
        <v>5732</v>
      </c>
      <c r="F14" s="1">
        <v>4293.5</v>
      </c>
      <c r="G14" s="1">
        <v>15743.6</v>
      </c>
      <c r="H14" s="1">
        <f t="shared" si="0"/>
        <v>67418</v>
      </c>
      <c r="I14" s="1">
        <v>2475.6</v>
      </c>
      <c r="J14" s="1">
        <v>5287.5</v>
      </c>
      <c r="K14" s="1">
        <v>2611.5</v>
      </c>
      <c r="L14" s="1">
        <v>14959.6</v>
      </c>
      <c r="M14" s="1">
        <f t="shared" si="1"/>
        <v>42083.8</v>
      </c>
      <c r="N14" s="1">
        <v>537746.6</v>
      </c>
      <c r="P14" s="1">
        <f t="shared" si="2"/>
        <v>0.34695008311086484</v>
      </c>
      <c r="Q14" s="1">
        <f t="shared" si="3"/>
        <v>0.19444842670551629</v>
      </c>
      <c r="R14" s="1">
        <f t="shared" si="4"/>
        <v>0.15250165640534855</v>
      </c>
      <c r="S14" s="1">
        <f t="shared" si="5"/>
        <v>0.19197815476657595</v>
      </c>
    </row>
    <row r="15" spans="1:19" x14ac:dyDescent="0.25">
      <c r="A15" s="1">
        <v>2007</v>
      </c>
      <c r="B15" s="1">
        <v>108846.2</v>
      </c>
      <c r="C15" s="1">
        <v>2675.6</v>
      </c>
      <c r="D15" s="1">
        <v>7233.4</v>
      </c>
      <c r="E15" s="1">
        <v>5272.8</v>
      </c>
      <c r="F15" s="1">
        <v>4523.2</v>
      </c>
      <c r="G15" s="1">
        <v>16560.400000000001</v>
      </c>
      <c r="H15" s="1">
        <f t="shared" si="0"/>
        <v>72580.799999999988</v>
      </c>
      <c r="I15" s="1">
        <v>2863.2</v>
      </c>
      <c r="J15" s="1">
        <v>5652.5</v>
      </c>
      <c r="K15" s="1">
        <v>3199.6</v>
      </c>
      <c r="L15" s="1">
        <v>16240.8</v>
      </c>
      <c r="M15" s="1">
        <f t="shared" si="1"/>
        <v>44624.69999999999</v>
      </c>
      <c r="N15" s="1">
        <v>547040.9</v>
      </c>
      <c r="P15" s="1">
        <f t="shared" si="2"/>
        <v>0.33318021207906207</v>
      </c>
      <c r="Q15" s="1">
        <f t="shared" si="3"/>
        <v>0.18103525892497854</v>
      </c>
      <c r="R15" s="1">
        <f t="shared" si="4"/>
        <v>0.1521449531540835</v>
      </c>
      <c r="S15" s="1">
        <f t="shared" si="5"/>
        <v>0.1989726910730075</v>
      </c>
    </row>
    <row r="16" spans="1:19" x14ac:dyDescent="0.25">
      <c r="A16" s="1">
        <v>2008</v>
      </c>
      <c r="B16" s="1">
        <v>109078.8</v>
      </c>
      <c r="C16" s="1">
        <v>2586.9</v>
      </c>
      <c r="D16" s="1">
        <v>7468.4</v>
      </c>
      <c r="E16" s="1">
        <v>5411</v>
      </c>
      <c r="F16" s="1">
        <v>4321.2</v>
      </c>
      <c r="G16" s="1">
        <v>15370.1</v>
      </c>
      <c r="H16" s="1">
        <f t="shared" si="0"/>
        <v>73921.200000000012</v>
      </c>
      <c r="I16" s="1">
        <v>3006.6</v>
      </c>
      <c r="J16" s="1">
        <v>5372.5</v>
      </c>
      <c r="K16" s="1">
        <v>3387.5</v>
      </c>
      <c r="L16" s="1">
        <v>16905.5</v>
      </c>
      <c r="M16" s="1">
        <f t="shared" si="1"/>
        <v>45249.100000000013</v>
      </c>
      <c r="N16" s="1">
        <v>540659</v>
      </c>
      <c r="P16" s="1">
        <f t="shared" si="2"/>
        <v>0.32231377682922802</v>
      </c>
      <c r="Q16" s="1">
        <f t="shared" si="3"/>
        <v>0.18140555268301448</v>
      </c>
      <c r="R16" s="1">
        <f t="shared" si="4"/>
        <v>0.14090822414621357</v>
      </c>
      <c r="S16" s="1">
        <f t="shared" si="5"/>
        <v>0.2017515661442795</v>
      </c>
    </row>
    <row r="17" spans="1:19" x14ac:dyDescent="0.25">
      <c r="A17" s="1">
        <v>2009</v>
      </c>
      <c r="B17" s="1">
        <v>90352.4</v>
      </c>
      <c r="C17" s="1">
        <v>2159.3000000000002</v>
      </c>
      <c r="D17" s="1">
        <v>7549.5</v>
      </c>
      <c r="E17" s="1">
        <v>6554.6</v>
      </c>
      <c r="F17" s="1">
        <v>2873.2</v>
      </c>
      <c r="G17" s="1">
        <v>9992.2999999999993</v>
      </c>
      <c r="H17" s="1">
        <f t="shared" si="0"/>
        <v>61223.5</v>
      </c>
      <c r="I17" s="1">
        <v>2590.6</v>
      </c>
      <c r="J17" s="1">
        <v>4377.8999999999996</v>
      </c>
      <c r="K17" s="1">
        <v>3173.3</v>
      </c>
      <c r="L17" s="1">
        <v>13176.4</v>
      </c>
      <c r="M17" s="1">
        <f t="shared" si="1"/>
        <v>37905.300000000003</v>
      </c>
      <c r="N17" s="1">
        <v>508565.8</v>
      </c>
      <c r="P17" s="1">
        <f t="shared" si="2"/>
        <v>0.32239210026518389</v>
      </c>
      <c r="Q17" s="1">
        <f t="shared" si="3"/>
        <v>0.21179957588287637</v>
      </c>
      <c r="R17" s="1">
        <f t="shared" si="4"/>
        <v>0.1105925243823075</v>
      </c>
      <c r="S17" s="1">
        <f t="shared" si="5"/>
        <v>0.1776611797332813</v>
      </c>
    </row>
    <row r="18" spans="1:19" x14ac:dyDescent="0.25">
      <c r="A18" s="1">
        <v>2010</v>
      </c>
      <c r="B18" s="1">
        <v>105610.1</v>
      </c>
      <c r="C18" s="1">
        <v>2425.9</v>
      </c>
      <c r="D18" s="1">
        <v>8548.5</v>
      </c>
      <c r="E18" s="1">
        <v>6862.2</v>
      </c>
      <c r="F18" s="1">
        <v>3292.2</v>
      </c>
      <c r="G18" s="1">
        <v>14250.3</v>
      </c>
      <c r="H18" s="1">
        <f t="shared" si="0"/>
        <v>70231</v>
      </c>
      <c r="I18" s="1">
        <v>3540</v>
      </c>
      <c r="J18" s="1">
        <v>5231</v>
      </c>
      <c r="K18" s="1">
        <v>3938.6</v>
      </c>
      <c r="L18" s="1">
        <v>16267.1</v>
      </c>
      <c r="M18" s="1">
        <f t="shared" si="1"/>
        <v>41254.300000000003</v>
      </c>
      <c r="N18" s="1">
        <v>529602.4</v>
      </c>
      <c r="P18" s="1">
        <f t="shared" si="2"/>
        <v>0.33499731559765589</v>
      </c>
      <c r="Q18" s="1">
        <f t="shared" si="3"/>
        <v>0.20006419840526615</v>
      </c>
      <c r="R18" s="1">
        <f t="shared" si="4"/>
        <v>0.13493311719238973</v>
      </c>
      <c r="S18" s="1">
        <f t="shared" si="5"/>
        <v>0.19941393770118868</v>
      </c>
    </row>
    <row r="19" spans="1:19" x14ac:dyDescent="0.25">
      <c r="A19" s="1">
        <v>2011</v>
      </c>
      <c r="B19" s="1">
        <v>102240</v>
      </c>
      <c r="C19" s="1">
        <v>2473.9</v>
      </c>
      <c r="D19" s="1">
        <v>8633.5</v>
      </c>
      <c r="E19" s="1">
        <v>6536.2</v>
      </c>
      <c r="F19" s="1">
        <v>3596.3</v>
      </c>
      <c r="G19" s="1">
        <v>9257.9</v>
      </c>
      <c r="H19" s="1">
        <f t="shared" si="0"/>
        <v>71742.200000000012</v>
      </c>
      <c r="I19" s="1">
        <v>3863.2</v>
      </c>
      <c r="J19" s="1">
        <v>5448.7</v>
      </c>
      <c r="K19" s="1">
        <v>3839.2</v>
      </c>
      <c r="L19" s="1">
        <v>15193.9</v>
      </c>
      <c r="M19" s="1">
        <f t="shared" si="1"/>
        <v>43397.200000000012</v>
      </c>
      <c r="N19" s="1">
        <v>528541.30000000005</v>
      </c>
      <c r="P19" s="1">
        <f t="shared" si="2"/>
        <v>0.298296165884194</v>
      </c>
      <c r="Q19" s="1">
        <f t="shared" si="3"/>
        <v>0.20774550078247259</v>
      </c>
      <c r="R19" s="1">
        <f t="shared" si="4"/>
        <v>9.0550665101721439E-2</v>
      </c>
      <c r="S19" s="1">
        <f t="shared" si="5"/>
        <v>0.19343805299604777</v>
      </c>
    </row>
    <row r="20" spans="1:19" x14ac:dyDescent="0.25">
      <c r="A20" s="1">
        <v>2012</v>
      </c>
      <c r="B20" s="1">
        <v>104319.2</v>
      </c>
      <c r="C20" s="1">
        <v>2259</v>
      </c>
      <c r="D20" s="1">
        <v>9081.6</v>
      </c>
      <c r="E20" s="1">
        <v>7108.5</v>
      </c>
      <c r="F20" s="1">
        <v>3343.8</v>
      </c>
      <c r="G20" s="1">
        <v>9603.6</v>
      </c>
      <c r="H20" s="1">
        <f t="shared" si="0"/>
        <v>72922.7</v>
      </c>
      <c r="I20" s="1">
        <v>3701.5</v>
      </c>
      <c r="J20" s="1">
        <v>5517.1</v>
      </c>
      <c r="K20" s="1">
        <v>3571</v>
      </c>
      <c r="L20" s="1">
        <v>16475.3</v>
      </c>
      <c r="M20" s="1">
        <f t="shared" si="1"/>
        <v>43657.799999999996</v>
      </c>
      <c r="N20" s="1">
        <v>537256.6</v>
      </c>
      <c r="P20" s="1">
        <f t="shared" si="2"/>
        <v>0.30096568992093498</v>
      </c>
      <c r="Q20" s="1">
        <f t="shared" si="3"/>
        <v>0.20890593486146364</v>
      </c>
      <c r="R20" s="1">
        <f t="shared" si="4"/>
        <v>9.2059755059471324E-2</v>
      </c>
      <c r="S20" s="1">
        <f t="shared" si="5"/>
        <v>0.194170160031538</v>
      </c>
    </row>
    <row r="21" spans="1:19" x14ac:dyDescent="0.25">
      <c r="A21" s="1">
        <v>2013</v>
      </c>
      <c r="B21" s="1">
        <v>102799.8</v>
      </c>
      <c r="C21" s="1">
        <v>2376.1</v>
      </c>
      <c r="D21" s="1">
        <v>9415.6</v>
      </c>
      <c r="E21" s="1">
        <v>9143.5</v>
      </c>
      <c r="F21" s="1">
        <v>3467.4</v>
      </c>
      <c r="G21" s="1">
        <v>9516.7999999999993</v>
      </c>
      <c r="H21" s="1">
        <f t="shared" si="0"/>
        <v>68880.399999999994</v>
      </c>
      <c r="I21" s="1">
        <v>3481.6</v>
      </c>
      <c r="J21" s="1">
        <v>5371.3</v>
      </c>
      <c r="K21" s="1">
        <v>3499.9</v>
      </c>
      <c r="L21" s="1">
        <v>14187.2</v>
      </c>
      <c r="M21" s="1">
        <f t="shared" si="1"/>
        <v>42340.399999999994</v>
      </c>
      <c r="N21" s="1">
        <v>547987.1</v>
      </c>
      <c r="P21" s="1">
        <f t="shared" si="2"/>
        <v>0.32995589485582655</v>
      </c>
      <c r="Q21" s="1">
        <f t="shared" si="3"/>
        <v>0.23737983926038769</v>
      </c>
      <c r="R21" s="1">
        <f t="shared" si="4"/>
        <v>9.2576055595438897E-2</v>
      </c>
      <c r="S21" s="1">
        <f t="shared" si="5"/>
        <v>0.18759529193296706</v>
      </c>
    </row>
    <row r="22" spans="1:19" x14ac:dyDescent="0.25">
      <c r="A22" s="1">
        <v>2014</v>
      </c>
      <c r="B22" s="1">
        <v>105784.2</v>
      </c>
      <c r="C22" s="1">
        <v>2402.8000000000002</v>
      </c>
      <c r="D22" s="1">
        <v>9628.7999999999993</v>
      </c>
      <c r="E22" s="1">
        <v>8053.1</v>
      </c>
      <c r="F22" s="1">
        <v>3579.6</v>
      </c>
      <c r="G22" s="1">
        <v>9688.4</v>
      </c>
      <c r="H22" s="1">
        <f t="shared" si="0"/>
        <v>72431.5</v>
      </c>
      <c r="I22" s="1">
        <v>3963.1</v>
      </c>
      <c r="J22" s="1">
        <v>6038.5</v>
      </c>
      <c r="K22" s="1">
        <v>3580.7</v>
      </c>
      <c r="L22" s="1">
        <v>14999.8</v>
      </c>
      <c r="M22" s="1">
        <f t="shared" si="1"/>
        <v>43849.4</v>
      </c>
      <c r="N22" s="1">
        <v>552951.4</v>
      </c>
      <c r="P22" s="1">
        <f t="shared" si="2"/>
        <v>0.31528999604855923</v>
      </c>
      <c r="Q22" s="1">
        <f t="shared" si="3"/>
        <v>0.22370353984810581</v>
      </c>
      <c r="R22" s="1">
        <f t="shared" si="4"/>
        <v>9.1586456200453373E-2</v>
      </c>
      <c r="S22" s="1">
        <f t="shared" si="5"/>
        <v>0.19130831389521755</v>
      </c>
    </row>
    <row r="23" spans="1:19" x14ac:dyDescent="0.25">
      <c r="A23" s="1">
        <v>2015</v>
      </c>
      <c r="B23" s="1">
        <v>107999.4</v>
      </c>
      <c r="C23" s="1">
        <v>2743.8</v>
      </c>
      <c r="D23" s="1">
        <v>10867.4</v>
      </c>
      <c r="E23" s="1">
        <v>6570.6</v>
      </c>
      <c r="F23" s="1">
        <v>3570.2</v>
      </c>
      <c r="G23" s="1">
        <v>8879.6</v>
      </c>
      <c r="H23" s="1">
        <f t="shared" si="0"/>
        <v>75367.799999999988</v>
      </c>
      <c r="I23" s="1">
        <v>4244.5</v>
      </c>
      <c r="J23" s="1">
        <v>5897.7</v>
      </c>
      <c r="K23" s="1">
        <v>3560.4</v>
      </c>
      <c r="L23" s="1">
        <v>14913.6</v>
      </c>
      <c r="M23" s="1">
        <f t="shared" si="1"/>
        <v>46751.599999999991</v>
      </c>
      <c r="N23" s="1">
        <v>562904.4</v>
      </c>
      <c r="P23" s="1">
        <f t="shared" si="2"/>
        <v>0.30214612303401694</v>
      </c>
      <c r="Q23" s="1">
        <f t="shared" si="3"/>
        <v>0.21992714774341343</v>
      </c>
      <c r="R23" s="1">
        <f t="shared" si="4"/>
        <v>8.2218975290603472E-2</v>
      </c>
      <c r="S23" s="1">
        <f t="shared" si="5"/>
        <v>0.19186099806645673</v>
      </c>
    </row>
    <row r="24" spans="1:19" x14ac:dyDescent="0.25">
      <c r="A24" s="1">
        <v>2016</v>
      </c>
      <c r="B24" s="1">
        <v>108935.2</v>
      </c>
      <c r="C24" s="1">
        <v>2778.7</v>
      </c>
      <c r="D24" s="1">
        <v>11770.3</v>
      </c>
      <c r="E24" s="1">
        <v>6277.2</v>
      </c>
      <c r="F24" s="1">
        <v>3408</v>
      </c>
      <c r="G24" s="1">
        <v>9801.2000000000007</v>
      </c>
      <c r="H24" s="1">
        <f t="shared" si="0"/>
        <v>74899.799999999988</v>
      </c>
      <c r="I24" s="1">
        <v>4658</v>
      </c>
      <c r="J24" s="1">
        <v>5961.3</v>
      </c>
      <c r="K24" s="1">
        <v>3045.3</v>
      </c>
      <c r="L24" s="1">
        <v>15094.7</v>
      </c>
      <c r="M24" s="1">
        <f t="shared" si="1"/>
        <v>46140.499999999985</v>
      </c>
      <c r="N24" s="1">
        <v>566872.80000000005</v>
      </c>
      <c r="P24" s="1">
        <f t="shared" si="2"/>
        <v>0.31243711858058737</v>
      </c>
      <c r="Q24" s="1">
        <f t="shared" si="3"/>
        <v>0.22246436413574311</v>
      </c>
      <c r="R24" s="1">
        <f t="shared" si="4"/>
        <v>8.9972754444844288E-2</v>
      </c>
      <c r="S24" s="1">
        <f t="shared" si="5"/>
        <v>0.19216868405046067</v>
      </c>
    </row>
    <row r="25" spans="1:19" x14ac:dyDescent="0.25">
      <c r="A25" s="1">
        <v>2017</v>
      </c>
      <c r="B25" s="1">
        <v>113546.7</v>
      </c>
      <c r="C25" s="1">
        <v>2928.9</v>
      </c>
      <c r="D25" s="1">
        <v>11579</v>
      </c>
      <c r="E25" s="1">
        <v>6493.9</v>
      </c>
      <c r="F25" s="1">
        <v>3732.4</v>
      </c>
      <c r="G25" s="1">
        <v>9465.5</v>
      </c>
      <c r="H25" s="1">
        <f t="shared" si="0"/>
        <v>79347</v>
      </c>
      <c r="I25" s="1">
        <v>4535.3999999999996</v>
      </c>
      <c r="J25" s="1">
        <v>6758.8</v>
      </c>
      <c r="K25" s="1">
        <v>2962.7</v>
      </c>
      <c r="L25" s="1">
        <v>16091.5</v>
      </c>
      <c r="M25" s="1">
        <f t="shared" si="1"/>
        <v>48998.6</v>
      </c>
      <c r="N25" s="1">
        <v>576075.69999999995</v>
      </c>
      <c r="P25" s="1">
        <f t="shared" si="2"/>
        <v>0.30119501491456818</v>
      </c>
      <c r="Q25" s="1">
        <f t="shared" si="3"/>
        <v>0.21783283882314503</v>
      </c>
      <c r="R25" s="1">
        <f t="shared" si="4"/>
        <v>8.3362176091423185E-2</v>
      </c>
      <c r="S25" s="1">
        <f t="shared" si="5"/>
        <v>0.19710378340902074</v>
      </c>
    </row>
    <row r="26" spans="1:19" x14ac:dyDescent="0.25">
      <c r="A26" s="1">
        <v>2018</v>
      </c>
      <c r="B26" s="1">
        <v>117804.6</v>
      </c>
      <c r="C26" s="1">
        <v>2972.7</v>
      </c>
      <c r="D26" s="1">
        <v>12063.1</v>
      </c>
      <c r="E26" s="1">
        <v>6562.6</v>
      </c>
      <c r="F26" s="1">
        <v>3593.6</v>
      </c>
      <c r="G26" s="1">
        <v>9649.7999999999993</v>
      </c>
      <c r="H26" s="1">
        <f t="shared" si="0"/>
        <v>82962.8</v>
      </c>
      <c r="I26" s="1">
        <v>5191.6000000000004</v>
      </c>
      <c r="J26" s="1">
        <v>7284.8</v>
      </c>
      <c r="K26" s="1">
        <v>3069.8</v>
      </c>
      <c r="L26" s="1">
        <v>16303.7</v>
      </c>
      <c r="M26" s="1">
        <f t="shared" si="1"/>
        <v>51112.9</v>
      </c>
      <c r="N26" s="1">
        <v>580881</v>
      </c>
      <c r="P26" s="1">
        <f t="shared" si="2"/>
        <v>0.29575924878994542</v>
      </c>
      <c r="Q26" s="1">
        <f t="shared" si="3"/>
        <v>0.21384563930440745</v>
      </c>
      <c r="R26" s="1">
        <f t="shared" si="4"/>
        <v>8.19136094855379E-2</v>
      </c>
      <c r="S26" s="1">
        <f t="shared" si="5"/>
        <v>0.20280332804825774</v>
      </c>
    </row>
    <row r="27" spans="1:19" x14ac:dyDescent="0.25">
      <c r="A27" s="1">
        <v>2019</v>
      </c>
      <c r="B27" s="1">
        <v>116758.39999999999</v>
      </c>
      <c r="C27" s="1">
        <v>2939.6</v>
      </c>
      <c r="D27" s="1">
        <v>12059.4</v>
      </c>
      <c r="E27" s="1">
        <v>5757.6</v>
      </c>
      <c r="F27" s="1">
        <v>3383.3</v>
      </c>
      <c r="G27" s="1">
        <v>10176.799999999999</v>
      </c>
      <c r="H27" s="1">
        <f t="shared" si="0"/>
        <v>82441.7</v>
      </c>
      <c r="I27" s="1">
        <v>5155.1000000000004</v>
      </c>
      <c r="J27" s="1">
        <v>7104.1</v>
      </c>
      <c r="K27" s="1">
        <v>2989.8</v>
      </c>
      <c r="L27" s="1">
        <v>16079.9</v>
      </c>
      <c r="M27" s="1">
        <f t="shared" si="1"/>
        <v>51112.799999999996</v>
      </c>
      <c r="N27" s="1">
        <v>579089</v>
      </c>
      <c r="P27" s="1">
        <f t="shared" si="2"/>
        <v>0.29391204401567683</v>
      </c>
      <c r="Q27" s="1">
        <f t="shared" si="3"/>
        <v>0.20675086332118287</v>
      </c>
      <c r="R27" s="1">
        <f t="shared" si="4"/>
        <v>8.7161180694493925E-2</v>
      </c>
      <c r="S27" s="1">
        <f t="shared" si="5"/>
        <v>0.20162427537045255</v>
      </c>
    </row>
    <row r="28" spans="1:19" x14ac:dyDescent="0.25">
      <c r="A28" s="1">
        <v>2020</v>
      </c>
      <c r="B28" s="1">
        <v>109616</v>
      </c>
      <c r="C28" s="1">
        <v>2526.6999999999998</v>
      </c>
      <c r="D28" s="1">
        <v>11884</v>
      </c>
      <c r="E28" s="1">
        <v>5469.8</v>
      </c>
      <c r="F28" s="1">
        <v>3344.2</v>
      </c>
      <c r="G28" s="1">
        <v>7285.6</v>
      </c>
      <c r="H28" s="1">
        <f t="shared" si="0"/>
        <v>79105.7</v>
      </c>
      <c r="I28" s="1">
        <v>5565.3</v>
      </c>
      <c r="J28" s="1">
        <v>6526.7</v>
      </c>
      <c r="K28" s="1">
        <v>2833.7</v>
      </c>
      <c r="L28" s="1">
        <v>15371.2</v>
      </c>
      <c r="M28" s="1">
        <f t="shared" si="1"/>
        <v>48808.799999999996</v>
      </c>
      <c r="N28" s="1">
        <v>554285</v>
      </c>
      <c r="P28" s="1">
        <f t="shared" si="2"/>
        <v>0.27833801634797845</v>
      </c>
      <c r="Q28" s="1">
        <f t="shared" si="3"/>
        <v>0.21187326667639761</v>
      </c>
      <c r="R28" s="1">
        <f t="shared" si="4"/>
        <v>6.6464749671580794E-2</v>
      </c>
      <c r="S28" s="1">
        <f t="shared" si="5"/>
        <v>0.19776107958902009</v>
      </c>
    </row>
    <row r="29" spans="1:19" x14ac:dyDescent="0.25">
      <c r="A29" s="1">
        <v>2021</v>
      </c>
      <c r="B29" s="1">
        <v>116422.2</v>
      </c>
      <c r="C29" s="1">
        <v>2703.7</v>
      </c>
      <c r="D29" s="1">
        <v>11183.7</v>
      </c>
      <c r="E29" s="1">
        <v>5710</v>
      </c>
      <c r="F29" s="1">
        <v>3566.7</v>
      </c>
      <c r="G29" s="1">
        <v>8512.4</v>
      </c>
      <c r="H29" s="1">
        <f t="shared" si="0"/>
        <v>84745.7</v>
      </c>
      <c r="I29" s="1">
        <v>7199.6</v>
      </c>
      <c r="J29" s="1">
        <v>7256</v>
      </c>
      <c r="K29" s="1">
        <v>2998.7</v>
      </c>
      <c r="L29" s="1">
        <v>14615.9</v>
      </c>
      <c r="M29" s="1">
        <f t="shared" si="1"/>
        <v>52675.5</v>
      </c>
      <c r="N29" s="1">
        <v>574040.80000000005</v>
      </c>
      <c r="P29" s="1">
        <f t="shared" si="2"/>
        <v>0.27208298760889249</v>
      </c>
      <c r="Q29" s="1">
        <f t="shared" si="3"/>
        <v>0.19896634834249827</v>
      </c>
      <c r="R29" s="1">
        <f t="shared" si="4"/>
        <v>7.3116639266394209E-2</v>
      </c>
      <c r="S29" s="1">
        <f t="shared" si="5"/>
        <v>0.20281171651910454</v>
      </c>
    </row>
    <row r="30" spans="1:19" x14ac:dyDescent="0.25">
      <c r="A30" s="1">
        <v>2022</v>
      </c>
      <c r="B30" s="1">
        <v>119239.3</v>
      </c>
      <c r="C30" s="1">
        <v>2550.1999999999998</v>
      </c>
      <c r="D30" s="1">
        <v>11487.5</v>
      </c>
      <c r="E30" s="1">
        <v>6714.8</v>
      </c>
      <c r="F30" s="1">
        <v>3397.2</v>
      </c>
      <c r="G30" s="1">
        <v>9436.2000000000007</v>
      </c>
      <c r="H30" s="1">
        <f t="shared" si="0"/>
        <v>85653.4</v>
      </c>
      <c r="I30" s="1">
        <v>6880.6</v>
      </c>
      <c r="J30" s="1">
        <v>7505.9</v>
      </c>
      <c r="K30" s="1">
        <v>2590.6999999999998</v>
      </c>
      <c r="L30" s="1">
        <v>15193.4</v>
      </c>
      <c r="M30" s="1">
        <f t="shared" si="1"/>
        <v>53482.799999999996</v>
      </c>
      <c r="N30" s="1">
        <v>581685</v>
      </c>
      <c r="P30" s="1">
        <f t="shared" si="2"/>
        <v>0.28166804065438156</v>
      </c>
      <c r="Q30" s="1">
        <f t="shared" si="3"/>
        <v>0.20253138017415398</v>
      </c>
      <c r="R30" s="1">
        <f t="shared" si="4"/>
        <v>7.9136660480227577E-2</v>
      </c>
      <c r="S30" s="1">
        <f t="shared" si="5"/>
        <v>0.20498947024592348</v>
      </c>
    </row>
    <row r="31" spans="1:19" x14ac:dyDescent="0.25">
      <c r="A31" s="1">
        <v>2023</v>
      </c>
      <c r="B31" s="1">
        <v>117803.7</v>
      </c>
      <c r="C31" s="1">
        <v>2531.9</v>
      </c>
      <c r="D31" s="1">
        <v>12722.1</v>
      </c>
      <c r="E31" s="1">
        <v>2547.6</v>
      </c>
      <c r="F31" s="1">
        <v>2993.2</v>
      </c>
      <c r="G31" s="1">
        <v>8575</v>
      </c>
      <c r="H31" s="1">
        <f t="shared" si="0"/>
        <v>88433.9</v>
      </c>
      <c r="I31" s="1">
        <v>7100</v>
      </c>
      <c r="J31" s="1">
        <v>7175.2</v>
      </c>
      <c r="K31" s="1">
        <v>2522.6</v>
      </c>
      <c r="L31" s="1">
        <v>17602.7</v>
      </c>
      <c r="M31" s="1">
        <f t="shared" si="1"/>
        <v>54033.399999999994</v>
      </c>
      <c r="N31" s="1">
        <v>585877.69999999995</v>
      </c>
      <c r="P31" s="1">
        <f t="shared" si="2"/>
        <v>0.24931135439718785</v>
      </c>
      <c r="Q31" s="1">
        <f t="shared" si="3"/>
        <v>0.1765207714188943</v>
      </c>
      <c r="R31" s="1">
        <f t="shared" si="4"/>
        <v>7.279058297829355E-2</v>
      </c>
      <c r="S31" s="1">
        <f t="shared" si="5"/>
        <v>0.20107216915748799</v>
      </c>
    </row>
    <row r="32" spans="1:19" x14ac:dyDescent="0.25">
      <c r="A32" s="1">
        <v>2024</v>
      </c>
      <c r="B32" s="1">
        <v>110990.39999999999</v>
      </c>
      <c r="C32" s="1">
        <v>2112.6999999999998</v>
      </c>
      <c r="D32" s="1">
        <v>11544.8</v>
      </c>
      <c r="E32" s="1">
        <v>2977.8</v>
      </c>
      <c r="F32" s="1">
        <v>2415.3000000000002</v>
      </c>
      <c r="G32" s="1">
        <v>7487.9</v>
      </c>
      <c r="H32" s="1">
        <f t="shared" si="0"/>
        <v>84451.9</v>
      </c>
      <c r="I32" s="1">
        <v>7366.5</v>
      </c>
      <c r="J32" s="1">
        <v>6310.7</v>
      </c>
      <c r="K32" s="1">
        <v>1973.5</v>
      </c>
      <c r="L32" s="1">
        <v>17848.7</v>
      </c>
      <c r="M32" s="1">
        <f t="shared" si="1"/>
        <v>50952.499999999993</v>
      </c>
      <c r="N32" s="1">
        <v>584471.1</v>
      </c>
      <c r="P32" s="1">
        <f t="shared" si="2"/>
        <v>0.23910626504634636</v>
      </c>
      <c r="Q32" s="1">
        <f t="shared" si="3"/>
        <v>0.17164187172944687</v>
      </c>
      <c r="R32" s="1">
        <f t="shared" si="4"/>
        <v>6.7464393316899476E-2</v>
      </c>
      <c r="S32" s="1">
        <f t="shared" si="5"/>
        <v>0.18989886754024279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2026-05-28T01:09:52Z</dcterms:created>
  <dcterms:modified xsi:type="dcterms:W3CDTF">2026-05-28T02:00:24Z</dcterms:modified>
</cp:coreProperties>
</file>