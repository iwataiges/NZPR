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50429work_NZPR/inputs/RE/"/>
    </mc:Choice>
  </mc:AlternateContent>
  <xr:revisionPtr revIDLastSave="0" documentId="13_ncr:1_{16D73CD8-2FE3-6040-B032-6B16A51BE9F6}" xr6:coauthVersionLast="47" xr6:coauthVersionMax="47" xr10:uidLastSave="{00000000-0000-0000-0000-000000000000}"/>
  <bookViews>
    <workbookView xWindow="32780" yWindow="18320" windowWidth="25240" windowHeight="13940" xr2:uid="{C8DFDA68-D080-DA47-9187-6C7399365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<sst xmlns="http://schemas.openxmlformats.org/spreadsheetml/2006/main" count="70" uniqueCount="22">
  <si>
    <t>Year</t>
  </si>
  <si>
    <t>PV</t>
  </si>
  <si>
    <t>OnSW</t>
  </si>
  <si>
    <t>OffSW</t>
  </si>
  <si>
    <t>GeoT</t>
  </si>
  <si>
    <t>Hydro</t>
  </si>
  <si>
    <t>Biomass</t>
  </si>
  <si>
    <t>PV_high</t>
  </si>
  <si>
    <t>Unit</t>
  </si>
  <si>
    <t>TWh/yr</t>
  </si>
  <si>
    <t>Label</t>
  </si>
  <si>
    <t>SEP</t>
  </si>
  <si>
    <t>OnSW_high</t>
  </si>
  <si>
    <t>OffSW_high</t>
  </si>
  <si>
    <t>GeoT_high</t>
  </si>
  <si>
    <t>Hydro_high</t>
  </si>
  <si>
    <t>Biomass_high</t>
  </si>
  <si>
    <t>1.5CRM</t>
  </si>
  <si>
    <t>SPS</t>
  </si>
  <si>
    <t>PV, OffSWは水素製造分含む</t>
  </si>
  <si>
    <t>RE</t>
  </si>
  <si>
    <t>balanced-sub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</si>
</sst>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(* #,##0.0_);_(* \(#,##0.0\);_(* &quot;-&quot;_);_(@_)"/>
    <numFmt numFmtId="165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1" fontId="2" fillId="0" borderId="0" xfId="1" applyFont="1"/>
    <xf numFmtId="164" fontId="2" fillId="0" borderId="0" xfId="1" applyNumberFormat="1" applyFont="1"/>
    <xf numFmtId="165" fontId="2" fillId="0" borderId="0" xfId="0" applyNumberFormat="1" applyFont="1"/>
    <xf numFmtId="165" fontId="2" fillId="0" borderId="0" xfId="1" applyNumberFormat="1" applyFont="1"/>
    <xf numFmtId="164" fontId="2" fillId="0" borderId="0" xfId="0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4DE7-3972-C14B-9668-6D0B7CEA31D5}">
  <dimension ref="A1:Q32"/>
  <sheetViews>
    <sheetView tabSelected="1" topLeftCell="A6" zoomScaleNormal="100" workbookViewId="0">
      <selection activeCell="C32" sqref="C32:I37"/>
    </sheetView>
  </sheetViews>
  <sheetFormatPr baseColWidth="10" defaultRowHeight="18" x14ac:dyDescent="0.25"/>
  <cols>
    <col min="1" max="16384" width="10.83203125" style="1"/>
  </cols>
  <sheetData>
    <row r="1" spans="1:17" x14ac:dyDescent="0.25">
      <c r="A1" s="1" t="s">
        <v>0</v>
      </c>
      <c r="B1" s="1" t="s">
        <v>8</v>
      </c>
      <c r="C1" s="1" t="s">
        <v>10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20</v>
      </c>
      <c r="K1" s="1" t="s">
        <v>7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7" x14ac:dyDescent="0.25">
      <c r="A2" s="1">
        <v>2013</v>
      </c>
      <c r="B2" s="1" t="s">
        <v>9</v>
      </c>
      <c r="D2" s="4">
        <v>12.9</v>
      </c>
      <c r="E2" s="4">
        <v>5.2</v>
      </c>
      <c r="F2" s="4">
        <v>0</v>
      </c>
      <c r="G2" s="4">
        <v>2.6</v>
      </c>
      <c r="H2" s="4">
        <v>79.400000000000006</v>
      </c>
      <c r="I2" s="4">
        <v>17.8</v>
      </c>
      <c r="J2" s="4">
        <f>SUM(D2:I2)</f>
        <v>117.9</v>
      </c>
    </row>
    <row r="3" spans="1:17" x14ac:dyDescent="0.25">
      <c r="A3" s="1">
        <v>2023</v>
      </c>
      <c r="B3" s="1" t="s">
        <v>9</v>
      </c>
      <c r="D3" s="4">
        <v>96.5</v>
      </c>
      <c r="E3" s="4">
        <v>10.3</v>
      </c>
      <c r="F3" s="4">
        <v>0.2</v>
      </c>
      <c r="G3" s="4">
        <v>3.4000000000000004</v>
      </c>
      <c r="H3" s="4">
        <v>74.900000000000006</v>
      </c>
      <c r="I3" s="4">
        <v>40.800000000000004</v>
      </c>
      <c r="J3" s="4">
        <f>SUM(D3:I3)</f>
        <v>226.10000000000002</v>
      </c>
    </row>
    <row r="4" spans="1:17" x14ac:dyDescent="0.25">
      <c r="A4" s="1">
        <v>2030</v>
      </c>
      <c r="B4" s="1" t="s">
        <v>9</v>
      </c>
      <c r="C4" s="2" t="s">
        <v>11</v>
      </c>
      <c r="D4" s="5">
        <v>129</v>
      </c>
      <c r="E4" s="5">
        <v>34</v>
      </c>
      <c r="F4" s="5">
        <v>16.600000000000001</v>
      </c>
      <c r="G4" s="5">
        <v>11</v>
      </c>
      <c r="H4" s="5">
        <v>98</v>
      </c>
      <c r="I4" s="5">
        <v>47</v>
      </c>
      <c r="J4" s="4">
        <f>SUM(D4:I4)</f>
        <v>335.6</v>
      </c>
      <c r="K4" s="4">
        <v>146</v>
      </c>
      <c r="L4" s="5">
        <v>34</v>
      </c>
      <c r="M4" s="5">
        <v>16.600000000000001</v>
      </c>
      <c r="N4" s="5">
        <v>11</v>
      </c>
      <c r="O4" s="5">
        <v>98</v>
      </c>
      <c r="P4" s="5">
        <v>47</v>
      </c>
    </row>
    <row r="5" spans="1:17" x14ac:dyDescent="0.25">
      <c r="A5" s="1">
        <v>2035</v>
      </c>
      <c r="B5" s="1" t="s">
        <v>9</v>
      </c>
      <c r="C5" s="2" t="s">
        <v>11</v>
      </c>
      <c r="D5" s="5">
        <v>192.10000000000002</v>
      </c>
      <c r="E5" s="5">
        <v>28.550000000000004</v>
      </c>
      <c r="F5" s="5">
        <v>20.400000000000002</v>
      </c>
      <c r="G5" s="5">
        <v>11</v>
      </c>
      <c r="H5" s="5">
        <v>93</v>
      </c>
      <c r="I5" s="5">
        <v>51.55</v>
      </c>
      <c r="J5" s="4">
        <f>SUM(D5:I5)</f>
        <v>396.60000000000008</v>
      </c>
      <c r="K5" s="6">
        <v>245.35294117647061</v>
      </c>
      <c r="L5" s="6">
        <v>31.117647058823529</v>
      </c>
      <c r="M5" s="6">
        <v>39.476470588235294</v>
      </c>
      <c r="N5" s="6">
        <v>17.264705882352942</v>
      </c>
      <c r="O5" s="6">
        <v>107.82352941176471</v>
      </c>
      <c r="P5" s="6">
        <v>60.558823529411761</v>
      </c>
    </row>
    <row r="6" spans="1:17" x14ac:dyDescent="0.25">
      <c r="A6" s="1">
        <v>2040</v>
      </c>
      <c r="B6" s="1" t="s">
        <v>9</v>
      </c>
      <c r="C6" s="2" t="s">
        <v>11</v>
      </c>
      <c r="D6" s="5">
        <v>255.20000000000002</v>
      </c>
      <c r="E6" s="5">
        <v>23.100000000000005</v>
      </c>
      <c r="F6" s="5">
        <v>24.200000000000003</v>
      </c>
      <c r="G6" s="5">
        <v>11</v>
      </c>
      <c r="H6" s="5">
        <v>88</v>
      </c>
      <c r="I6" s="5">
        <v>56.1</v>
      </c>
      <c r="J6" s="4">
        <f>SUM(D6:I6)</f>
        <v>457.6</v>
      </c>
      <c r="K6" s="3">
        <v>344.70588235294122</v>
      </c>
      <c r="L6" s="3">
        <v>28.235294117647062</v>
      </c>
      <c r="M6" s="3">
        <v>62.352941176470587</v>
      </c>
      <c r="N6" s="3">
        <v>23.529411764705884</v>
      </c>
      <c r="O6" s="3">
        <v>117.64705882352942</v>
      </c>
      <c r="P6" s="3">
        <v>74.117647058823522</v>
      </c>
    </row>
    <row r="7" spans="1:17" x14ac:dyDescent="0.25">
      <c r="A7" s="1">
        <v>2020</v>
      </c>
      <c r="B7" s="1" t="s">
        <v>9</v>
      </c>
      <c r="C7" s="2" t="s">
        <v>17</v>
      </c>
      <c r="D7" s="3">
        <v>79.099999999999994</v>
      </c>
      <c r="E7" s="3">
        <v>9</v>
      </c>
      <c r="F7" s="3">
        <v>0</v>
      </c>
      <c r="G7" s="3">
        <v>3</v>
      </c>
      <c r="H7" s="3">
        <v>78.400000000000006</v>
      </c>
      <c r="I7" s="6">
        <v>28.8</v>
      </c>
      <c r="J7" s="4">
        <f t="shared" ref="J7:J27" si="0">SUM(D7:I7)</f>
        <v>198.3</v>
      </c>
      <c r="K7" s="3"/>
      <c r="L7" s="3"/>
      <c r="M7" s="3"/>
      <c r="N7" s="3"/>
      <c r="O7" s="3"/>
      <c r="P7" s="3"/>
    </row>
    <row r="8" spans="1:17" x14ac:dyDescent="0.25">
      <c r="A8" s="1">
        <v>2025</v>
      </c>
      <c r="B8" s="1" t="s">
        <v>9</v>
      </c>
      <c r="C8" s="2" t="s">
        <v>17</v>
      </c>
      <c r="D8" s="6">
        <v>121.96138012421936</v>
      </c>
      <c r="E8" s="6">
        <v>38.28283039026168</v>
      </c>
      <c r="F8" s="3">
        <v>13.416858453965242</v>
      </c>
      <c r="G8" s="6">
        <v>8.0025480000000293</v>
      </c>
      <c r="H8" s="6">
        <v>61.821652814410221</v>
      </c>
      <c r="I8" s="6">
        <v>44.085106806680216</v>
      </c>
      <c r="J8" s="4">
        <f t="shared" si="0"/>
        <v>287.57037658953675</v>
      </c>
      <c r="K8" s="3"/>
      <c r="L8" s="3"/>
      <c r="M8" s="3"/>
      <c r="N8" s="3"/>
      <c r="O8" s="3"/>
      <c r="P8" s="3"/>
    </row>
    <row r="9" spans="1:17" x14ac:dyDescent="0.25">
      <c r="A9" s="1">
        <v>2030</v>
      </c>
      <c r="B9" s="1" t="s">
        <v>9</v>
      </c>
      <c r="C9" s="2" t="s">
        <v>17</v>
      </c>
      <c r="D9" s="3">
        <v>164.82276024843873</v>
      </c>
      <c r="E9" s="3">
        <v>67.565660780523359</v>
      </c>
      <c r="F9" s="3">
        <v>26.833716907930484</v>
      </c>
      <c r="G9" s="3">
        <v>13.00509600000006</v>
      </c>
      <c r="H9" s="3">
        <v>45.243305628820437</v>
      </c>
      <c r="I9" s="6">
        <v>59.370213613360427</v>
      </c>
      <c r="J9" s="4">
        <f t="shared" si="0"/>
        <v>376.84075317907349</v>
      </c>
    </row>
    <row r="10" spans="1:17" x14ac:dyDescent="0.25">
      <c r="A10" s="1">
        <v>2035</v>
      </c>
      <c r="B10" s="1" t="s">
        <v>9</v>
      </c>
      <c r="C10" s="2" t="s">
        <v>17</v>
      </c>
      <c r="D10" s="3">
        <v>274.0054762702726</v>
      </c>
      <c r="E10" s="3">
        <v>76.058151836230692</v>
      </c>
      <c r="F10" s="3">
        <v>242.76678782967414</v>
      </c>
      <c r="G10" s="3">
        <v>10.794948000000037</v>
      </c>
      <c r="H10" s="3">
        <v>61.124560391062204</v>
      </c>
      <c r="I10" s="6">
        <v>44.742467380949286</v>
      </c>
      <c r="J10" s="4">
        <f t="shared" si="0"/>
        <v>709.49239170818907</v>
      </c>
      <c r="Q10" s="1" t="s">
        <v>19</v>
      </c>
    </row>
    <row r="11" spans="1:17" x14ac:dyDescent="0.25">
      <c r="A11" s="1">
        <v>2040</v>
      </c>
      <c r="B11" s="1" t="s">
        <v>9</v>
      </c>
      <c r="C11" s="2" t="s">
        <v>17</v>
      </c>
      <c r="D11" s="3">
        <v>383.18819229210646</v>
      </c>
      <c r="E11" s="3">
        <v>84.550642891938026</v>
      </c>
      <c r="F11" s="3">
        <v>458.69985875141782</v>
      </c>
      <c r="G11" s="3">
        <v>8.5848000000000138</v>
      </c>
      <c r="H11" s="3">
        <v>77.005815153303971</v>
      </c>
      <c r="I11" s="6">
        <v>30.114721148538145</v>
      </c>
      <c r="J11" s="4">
        <f t="shared" si="0"/>
        <v>1042.1440302373044</v>
      </c>
      <c r="Q11" s="1" t="s">
        <v>19</v>
      </c>
    </row>
    <row r="12" spans="1:17" x14ac:dyDescent="0.25">
      <c r="A12" s="1">
        <v>2045</v>
      </c>
      <c r="B12" s="1" t="s">
        <v>9</v>
      </c>
      <c r="C12" s="2" t="s">
        <v>17</v>
      </c>
      <c r="D12" s="3">
        <v>492.73865665646207</v>
      </c>
      <c r="E12" s="3">
        <v>84.159896332551341</v>
      </c>
      <c r="F12" s="3">
        <v>929.36587118068405</v>
      </c>
      <c r="G12" s="3">
        <v>8.5848000000000138</v>
      </c>
      <c r="H12" s="3">
        <v>65.161766733503313</v>
      </c>
      <c r="I12" s="6">
        <v>25.421149388947953</v>
      </c>
      <c r="J12" s="4">
        <f t="shared" si="0"/>
        <v>1605.4321402921489</v>
      </c>
      <c r="Q12" s="1" t="s">
        <v>19</v>
      </c>
    </row>
    <row r="13" spans="1:17" x14ac:dyDescent="0.25">
      <c r="A13" s="1">
        <v>2050</v>
      </c>
      <c r="B13" s="1" t="s">
        <v>9</v>
      </c>
      <c r="C13" s="2" t="s">
        <v>17</v>
      </c>
      <c r="D13" s="3">
        <v>602.28912102081767</v>
      </c>
      <c r="E13" s="3">
        <v>83.769149773164656</v>
      </c>
      <c r="F13" s="3">
        <v>1400.0318836099502</v>
      </c>
      <c r="G13" s="3">
        <v>8.5848000000000138</v>
      </c>
      <c r="H13" s="3">
        <v>53.317718313702656</v>
      </c>
      <c r="I13" s="6">
        <v>20.727577629357761</v>
      </c>
      <c r="J13" s="4">
        <f t="shared" si="0"/>
        <v>2168.720250346993</v>
      </c>
      <c r="Q13" s="1" t="s">
        <v>19</v>
      </c>
    </row>
    <row r="14" spans="1:17" x14ac:dyDescent="0.25">
      <c r="A14" s="1">
        <v>2020</v>
      </c>
      <c r="B14" s="1" t="s">
        <v>9</v>
      </c>
      <c r="C14" s="2" t="s">
        <v>18</v>
      </c>
      <c r="D14" s="3">
        <v>79.099999999999994</v>
      </c>
      <c r="E14" s="3">
        <v>9</v>
      </c>
      <c r="F14" s="3">
        <v>0</v>
      </c>
      <c r="G14" s="3">
        <v>3</v>
      </c>
      <c r="H14" s="3">
        <v>78.400000000000006</v>
      </c>
      <c r="I14" s="6">
        <v>28.8</v>
      </c>
      <c r="J14" s="4">
        <f t="shared" si="0"/>
        <v>198.3</v>
      </c>
      <c r="K14" s="3"/>
      <c r="L14" s="3"/>
      <c r="M14" s="4"/>
      <c r="N14" s="6"/>
      <c r="O14" s="6"/>
      <c r="P14" s="6"/>
    </row>
    <row r="15" spans="1:17" x14ac:dyDescent="0.25">
      <c r="A15" s="1">
        <v>2025</v>
      </c>
      <c r="B15" s="1" t="s">
        <v>9</v>
      </c>
      <c r="C15" s="2" t="s">
        <v>18</v>
      </c>
      <c r="D15" s="6">
        <v>114.94858757518836</v>
      </c>
      <c r="E15" s="6">
        <v>25.542128661698545</v>
      </c>
      <c r="F15" s="3">
        <v>9.5793940296957754</v>
      </c>
      <c r="G15" s="6">
        <v>8.0025480000000258</v>
      </c>
      <c r="H15" s="6">
        <v>61.663180939976613</v>
      </c>
      <c r="I15" s="6">
        <v>43.320896125744113</v>
      </c>
      <c r="J15" s="4">
        <f t="shared" si="0"/>
        <v>263.05673533230345</v>
      </c>
      <c r="K15" s="3"/>
      <c r="L15" s="3"/>
      <c r="M15" s="4"/>
      <c r="N15" s="6"/>
      <c r="O15" s="6"/>
      <c r="P15" s="6"/>
    </row>
    <row r="16" spans="1:17" x14ac:dyDescent="0.25">
      <c r="A16" s="1">
        <v>2030</v>
      </c>
      <c r="B16" s="1" t="s">
        <v>9</v>
      </c>
      <c r="C16" s="2" t="s">
        <v>18</v>
      </c>
      <c r="D16" s="3">
        <v>150.79717515037672</v>
      </c>
      <c r="E16" s="3">
        <v>42.08425732339709</v>
      </c>
      <c r="F16" s="3">
        <v>19.158788059391551</v>
      </c>
      <c r="G16" s="3">
        <v>13.005096000000053</v>
      </c>
      <c r="H16" s="3">
        <v>44.92636187995322</v>
      </c>
      <c r="I16" s="6">
        <v>57.841792251488229</v>
      </c>
      <c r="J16" s="4">
        <f t="shared" si="0"/>
        <v>327.81347066460688</v>
      </c>
      <c r="K16" s="3"/>
      <c r="L16" s="3"/>
      <c r="M16" s="4"/>
      <c r="N16" s="6"/>
      <c r="O16" s="6"/>
      <c r="P16" s="6"/>
    </row>
    <row r="17" spans="1:16" x14ac:dyDescent="0.25">
      <c r="A17" s="1">
        <v>2035</v>
      </c>
      <c r="B17" s="1" t="s">
        <v>9</v>
      </c>
      <c r="C17" s="2" t="s">
        <v>18</v>
      </c>
      <c r="D17" s="3">
        <v>181.75041498312828</v>
      </c>
      <c r="E17" s="3">
        <v>60.769686470979508</v>
      </c>
      <c r="F17" s="3">
        <v>59.737030472926186</v>
      </c>
      <c r="G17" s="3">
        <v>10.794948000000034</v>
      </c>
      <c r="H17" s="3">
        <v>68.116710447428943</v>
      </c>
      <c r="I17" s="6">
        <v>52.37308836699853</v>
      </c>
      <c r="J17" s="4">
        <f t="shared" si="0"/>
        <v>433.54187874146146</v>
      </c>
    </row>
    <row r="18" spans="1:16" x14ac:dyDescent="0.25">
      <c r="A18" s="1">
        <v>2040</v>
      </c>
      <c r="B18" s="1" t="s">
        <v>9</v>
      </c>
      <c r="C18" s="2" t="s">
        <v>18</v>
      </c>
      <c r="D18" s="3">
        <v>212.70365481587982</v>
      </c>
      <c r="E18" s="3">
        <v>79.455115618561933</v>
      </c>
      <c r="F18" s="3">
        <v>100.31527288646082</v>
      </c>
      <c r="G18" s="3">
        <v>8.5848000000000138</v>
      </c>
      <c r="H18" s="3">
        <v>91.307059014904681</v>
      </c>
      <c r="I18" s="6">
        <v>46.904384482508824</v>
      </c>
      <c r="J18" s="4">
        <f t="shared" si="0"/>
        <v>539.27028681831609</v>
      </c>
    </row>
    <row r="19" spans="1:16" x14ac:dyDescent="0.25">
      <c r="A19" s="1">
        <v>2045</v>
      </c>
      <c r="B19" s="1" t="s">
        <v>9</v>
      </c>
      <c r="C19" s="2" t="s">
        <v>18</v>
      </c>
      <c r="D19" s="3">
        <v>265.7794797571961</v>
      </c>
      <c r="E19" s="3">
        <v>88.552381320013595</v>
      </c>
      <c r="F19" s="3">
        <v>127.74572919995254</v>
      </c>
      <c r="G19" s="3">
        <v>8.5848000000000138</v>
      </c>
      <c r="H19" s="3">
        <v>94.735189711603056</v>
      </c>
      <c r="I19" s="6">
        <v>49.937643838555232</v>
      </c>
      <c r="J19" s="4">
        <f t="shared" si="0"/>
        <v>635.33522382732053</v>
      </c>
      <c r="K19" s="4"/>
      <c r="L19" s="5"/>
      <c r="M19" s="5"/>
      <c r="N19" s="5"/>
      <c r="O19" s="5"/>
      <c r="P19" s="5"/>
    </row>
    <row r="20" spans="1:16" x14ac:dyDescent="0.25">
      <c r="A20" s="1">
        <v>2050</v>
      </c>
      <c r="B20" s="1" t="s">
        <v>9</v>
      </c>
      <c r="C20" s="2" t="s">
        <v>18</v>
      </c>
      <c r="D20" s="3">
        <v>318.85530469851238</v>
      </c>
      <c r="E20" s="3">
        <v>97.649647021465256</v>
      </c>
      <c r="F20" s="3">
        <v>155.17618551344424</v>
      </c>
      <c r="G20" s="3">
        <v>8.5848000000000138</v>
      </c>
      <c r="H20" s="3">
        <v>98.163320408301416</v>
      </c>
      <c r="I20" s="6">
        <v>52.97090319460164</v>
      </c>
      <c r="J20" s="4">
        <f t="shared" si="0"/>
        <v>731.40016083632486</v>
      </c>
      <c r="K20" s="2"/>
      <c r="L20" s="2"/>
      <c r="M20" s="2"/>
      <c r="N20" s="2"/>
      <c r="O20" s="2"/>
      <c r="P20" s="2"/>
    </row>
    <row r="21" spans="1:16" x14ac:dyDescent="0.25">
      <c r="A21" s="1">
        <v>2020</v>
      </c>
      <c r="B21" s="1" t="s">
        <v>9</v>
      </c>
      <c r="C21" s="2" t="s">
        <v>21</v>
      </c>
      <c r="D21" s="2">
        <v>79.099999999999994</v>
      </c>
      <c r="E21" s="1">
        <v>9</v>
      </c>
      <c r="F21" s="1">
        <v>0</v>
      </c>
      <c r="G21" s="1">
        <v>3</v>
      </c>
      <c r="H21" s="1">
        <v>78.400000000000006</v>
      </c>
      <c r="I21" s="1">
        <v>28.8</v>
      </c>
      <c r="J21" s="4">
        <f t="shared" si="0"/>
        <v>198.3</v>
      </c>
    </row>
    <row r="22" spans="1:16" x14ac:dyDescent="0.25">
      <c r="A22" s="1">
        <v>2025</v>
      </c>
      <c r="B22" s="1" t="s">
        <v>9</v>
      </c>
      <c r="C22" s="2" t="s">
        <v>21</v>
      </c>
      <c r="D22" s="3">
        <v>121.5532859952019</v>
      </c>
      <c r="E22" s="1">
        <v>38.218993458783046</v>
      </c>
      <c r="F22" s="1">
        <v>13.413310387192974</v>
      </c>
      <c r="G22" s="1">
        <v>8.0025480000000293</v>
      </c>
      <c r="H22" s="1">
        <v>61.641779319259896</v>
      </c>
      <c r="I22" s="1">
        <v>43.832021337993147</v>
      </c>
      <c r="J22" s="4">
        <f t="shared" si="0"/>
        <v>286.66193849843097</v>
      </c>
    </row>
    <row r="23" spans="1:16" x14ac:dyDescent="0.25">
      <c r="A23" s="1">
        <v>2030</v>
      </c>
      <c r="B23" s="1" t="s">
        <v>9</v>
      </c>
      <c r="C23" s="2" t="s">
        <v>21</v>
      </c>
      <c r="D23" s="2">
        <v>164.00657199040381</v>
      </c>
      <c r="E23" s="1">
        <v>67.437986917566093</v>
      </c>
      <c r="F23" s="1">
        <v>26.826620774385947</v>
      </c>
      <c r="G23" s="1">
        <v>13.00509600000006</v>
      </c>
      <c r="H23" s="1">
        <v>44.883558638519794</v>
      </c>
      <c r="I23" s="1">
        <v>58.86404267598629</v>
      </c>
      <c r="J23" s="4">
        <f t="shared" si="0"/>
        <v>375.02387699686199</v>
      </c>
    </row>
    <row r="24" spans="1:16" x14ac:dyDescent="0.25">
      <c r="A24" s="1">
        <v>2035</v>
      </c>
      <c r="B24" s="1" t="s">
        <v>9</v>
      </c>
      <c r="C24" s="2" t="s">
        <v>21</v>
      </c>
      <c r="D24" s="2">
        <v>271.18123953368922</v>
      </c>
      <c r="E24" s="1">
        <v>68.223834092899381</v>
      </c>
      <c r="F24" s="1">
        <v>159.32904364429643</v>
      </c>
      <c r="G24" s="1">
        <v>10.794948000000037</v>
      </c>
      <c r="H24" s="1">
        <v>65.068094732065134</v>
      </c>
      <c r="I24" s="1">
        <v>48.739708618569026</v>
      </c>
      <c r="J24" s="4">
        <f t="shared" si="0"/>
        <v>623.33686862151922</v>
      </c>
    </row>
    <row r="25" spans="1:16" x14ac:dyDescent="0.25">
      <c r="A25" s="1">
        <v>2040</v>
      </c>
      <c r="B25" s="1" t="s">
        <v>9</v>
      </c>
      <c r="C25" s="2" t="s">
        <v>21</v>
      </c>
      <c r="D25" s="2">
        <v>378.35590707697463</v>
      </c>
      <c r="E25" s="1">
        <v>69.009681268232654</v>
      </c>
      <c r="F25" s="1">
        <v>291.83146651420691</v>
      </c>
      <c r="G25" s="1">
        <v>8.5848000000000138</v>
      </c>
      <c r="H25" s="1">
        <v>85.252630825610467</v>
      </c>
      <c r="I25" s="1">
        <v>38.615374561151754</v>
      </c>
      <c r="J25" s="4">
        <f t="shared" si="0"/>
        <v>871.64986024617644</v>
      </c>
    </row>
    <row r="26" spans="1:16" x14ac:dyDescent="0.25">
      <c r="A26" s="1">
        <v>2045</v>
      </c>
      <c r="B26" s="1" t="s">
        <v>9</v>
      </c>
      <c r="C26" s="2" t="s">
        <v>21</v>
      </c>
      <c r="D26" s="1">
        <v>477.62286142962392</v>
      </c>
      <c r="E26" s="1">
        <v>75.562372238273554</v>
      </c>
      <c r="F26" s="1">
        <v>477.45645850710582</v>
      </c>
      <c r="G26" s="1">
        <v>8.5848000000000138</v>
      </c>
      <c r="H26" s="1">
        <v>76.887219859816128</v>
      </c>
      <c r="I26" s="1">
        <v>33.123177995110581</v>
      </c>
      <c r="J26" s="4">
        <f t="shared" si="0"/>
        <v>1149.23689002993</v>
      </c>
    </row>
    <row r="27" spans="1:16" x14ac:dyDescent="0.25">
      <c r="A27" s="1">
        <v>2050</v>
      </c>
      <c r="B27" s="1" t="s">
        <v>9</v>
      </c>
      <c r="C27" s="2" t="s">
        <v>21</v>
      </c>
      <c r="D27" s="1">
        <v>576.88981578227322</v>
      </c>
      <c r="E27" s="1">
        <v>82.115063208314453</v>
      </c>
      <c r="F27" s="1">
        <v>663.08145050000473</v>
      </c>
      <c r="G27" s="1">
        <v>8.5848000000000138</v>
      </c>
      <c r="H27" s="1">
        <v>68.521808894021802</v>
      </c>
      <c r="I27" s="1">
        <v>27.630981429069415</v>
      </c>
      <c r="J27" s="4">
        <f t="shared" si="0"/>
        <v>1426.8239198136839</v>
      </c>
    </row>
    <row r="28" spans="1:16" x14ac:dyDescent="0.25">
      <c r="C28" s="2"/>
      <c r="D28" s="3"/>
      <c r="E28" s="2"/>
      <c r="F28" s="2"/>
      <c r="G28" s="2"/>
    </row>
    <row r="29" spans="1:16" x14ac:dyDescent="0.25">
      <c r="C29" s="2"/>
      <c r="D29" s="3"/>
      <c r="E29" s="2"/>
      <c r="F29" s="2"/>
      <c r="G29" s="2"/>
    </row>
    <row r="30" spans="1:16" x14ac:dyDescent="0.25">
      <c r="C30" s="2"/>
      <c r="D30" s="3"/>
      <c r="E30" s="2"/>
      <c r="F30" s="2"/>
      <c r="G30" s="2"/>
    </row>
    <row r="31" spans="1:16" x14ac:dyDescent="0.25">
      <c r="C31" s="2"/>
      <c r="D31" s="3"/>
      <c r="E31" s="2"/>
      <c r="F31" s="2"/>
      <c r="G31" s="2"/>
    </row>
    <row r="32" spans="1:16" x14ac:dyDescent="0.25">
      <c r="C32" s="2"/>
      <c r="D32" s="3"/>
      <c r="E32" s="2"/>
      <c r="F32" s="2"/>
      <c r="G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2025-09-08T00:07:27Z</dcterms:created>
  <dcterms:modified xsi:type="dcterms:W3CDTF">2025-12-30T08:39:18Z</dcterms:modified>
</cp:coreProperties>
</file>