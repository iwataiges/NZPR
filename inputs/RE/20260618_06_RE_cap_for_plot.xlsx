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wata/Documents/work/02NZPR/20250429work_NZPR/inputs/RE/"/>
    </mc:Choice>
  </mc:AlternateContent>
  <xr:revisionPtr revIDLastSave="0" documentId="13_ncr:1_{56A206BD-676A-F64C-B0DB-C00A7B9A2428}" xr6:coauthVersionLast="47" xr6:coauthVersionMax="47" xr10:uidLastSave="{00000000-0000-0000-0000-000000000000}"/>
  <bookViews>
    <workbookView xWindow="1400" yWindow="20920" windowWidth="33120" windowHeight="16560" activeTab="1" xr2:uid="{8518FA3F-A8FE-3A4B-99C6-0A14ABE6F1D0}"/>
  </bookViews>
  <sheets>
    <sheet name="Sheet1" sheetId="1" r:id="rId1"/>
    <sheet name="Sheet1_for_cum" sheetId="3" r:id="rId2"/>
    <sheet name="Sheet1_20260331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3" i="3" l="1"/>
  <c r="V13" i="3"/>
  <c r="W12" i="3"/>
  <c r="V12" i="3"/>
  <c r="W11" i="3"/>
  <c r="V11" i="3"/>
  <c r="W10" i="3"/>
  <c r="V10" i="3"/>
  <c r="L10" i="3"/>
  <c r="W9" i="3"/>
  <c r="L9" i="3"/>
  <c r="V9" i="3" s="1"/>
  <c r="W8" i="3"/>
  <c r="V8" i="3"/>
  <c r="L8" i="3"/>
  <c r="W7" i="3"/>
  <c r="V7" i="3"/>
  <c r="W6" i="3"/>
  <c r="V6" i="3"/>
  <c r="W5" i="3"/>
  <c r="V5" i="3"/>
  <c r="L4" i="3"/>
  <c r="V4" i="3" s="1"/>
  <c r="L3" i="3"/>
  <c r="V3" i="3" s="1"/>
  <c r="L2" i="3"/>
  <c r="V2" i="3" s="1"/>
  <c r="W13" i="2"/>
  <c r="V13" i="2"/>
  <c r="W12" i="2"/>
  <c r="V12" i="2"/>
  <c r="W11" i="2"/>
  <c r="V11" i="2"/>
  <c r="W10" i="2"/>
  <c r="L10" i="2"/>
  <c r="V10" i="2" s="1"/>
  <c r="W9" i="2"/>
  <c r="L9" i="2"/>
  <c r="V9" i="2" s="1"/>
  <c r="W8" i="2"/>
  <c r="L8" i="2"/>
  <c r="V8" i="2" s="1"/>
  <c r="W7" i="2"/>
  <c r="V7" i="2"/>
  <c r="W6" i="2"/>
  <c r="V6" i="2"/>
  <c r="W5" i="2"/>
  <c r="V5" i="2"/>
  <c r="L4" i="2"/>
  <c r="V4" i="2" s="1"/>
  <c r="V3" i="2"/>
  <c r="L3" i="2"/>
  <c r="L2" i="2"/>
  <c r="V2" i="2" s="1"/>
  <c r="W13" i="1"/>
  <c r="W12" i="1"/>
  <c r="W11" i="1"/>
  <c r="W10" i="1"/>
  <c r="W9" i="1"/>
  <c r="W8" i="1"/>
  <c r="W7" i="1"/>
  <c r="W6" i="1"/>
  <c r="W5" i="1"/>
  <c r="V13" i="1"/>
  <c r="V12" i="1"/>
  <c r="V11" i="1"/>
  <c r="V8" i="1"/>
  <c r="V7" i="1"/>
  <c r="V6" i="1"/>
  <c r="V5" i="1"/>
  <c r="V4" i="1"/>
  <c r="V3" i="1"/>
  <c r="V2" i="1"/>
  <c r="L10" i="1"/>
  <c r="V10" i="1" s="1"/>
  <c r="L9" i="1"/>
  <c r="V9" i="1" s="1"/>
  <c r="L8" i="1"/>
  <c r="L4" i="1"/>
  <c r="L3" i="1"/>
  <c r="L2" i="1"/>
</calcChain>
</file>

<file path=xl/sharedStrings.xml><?xml version="1.0" encoding="utf-8"?>
<sst xmlns="http://schemas.openxmlformats.org/spreadsheetml/2006/main" count="129" uniqueCount="27">
  <si>
    <t>揚水発電</t>
    <rPh sb="0" eb="4">
      <t>ヨウスイハツデン</t>
    </rPh>
    <phoneticPr fontId="0"/>
  </si>
  <si>
    <t>Label</t>
  </si>
  <si>
    <t>Gradient</t>
  </si>
  <si>
    <t>N</t>
  </si>
  <si>
    <t>Y</t>
  </si>
  <si>
    <t>PV</t>
  </si>
  <si>
    <t>OnSW</t>
  </si>
  <si>
    <t>OffSW</t>
  </si>
  <si>
    <t>GeoT</t>
  </si>
  <si>
    <t>Hydro</t>
  </si>
  <si>
    <t>Biomass</t>
  </si>
  <si>
    <t>PV_high</t>
  </si>
  <si>
    <t>SEP</t>
  </si>
  <si>
    <t>OnSW_high</t>
  </si>
  <si>
    <t>OffSW_high</t>
  </si>
  <si>
    <t>GeoT_high</t>
  </si>
  <si>
    <t>Hydro_high</t>
  </si>
  <si>
    <t>Biomass_high</t>
  </si>
  <si>
    <t>x</t>
  </si>
  <si>
    <t>Year</t>
  </si>
  <si>
    <t>Offset</t>
  </si>
  <si>
    <t>1.5CRM</t>
  </si>
  <si>
    <t>Tone</t>
  </si>
  <si>
    <t>Current</t>
  </si>
  <si>
    <t>Total</t>
  </si>
  <si>
    <t>Total_high</t>
  </si>
  <si>
    <t>adjust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</si>
</sst>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838A4-6B7B-834C-9155-083113836EA0}">
  <dimension ref="A1:W13"/>
  <sheetViews>
    <sheetView workbookViewId="0">
      <selection activeCell="H13" sqref="H13"/>
    </sheetView>
  </sheetViews>
  <sheetFormatPr baseColWidth="10" defaultRowHeight="18" x14ac:dyDescent="0.25"/>
  <cols>
    <col min="1" max="16384" width="10.83203125" style="1"/>
  </cols>
  <sheetData>
    <row r="1" spans="1:23" x14ac:dyDescent="0.25">
      <c r="A1" s="1" t="s">
        <v>19</v>
      </c>
      <c r="B1" s="1" t="s">
        <v>18</v>
      </c>
      <c r="C1" s="1" t="s">
        <v>1</v>
      </c>
      <c r="D1" s="1" t="s">
        <v>20</v>
      </c>
      <c r="E1" s="1" t="s">
        <v>22</v>
      </c>
      <c r="F1" s="1" t="s">
        <v>2</v>
      </c>
      <c r="G1" s="1" t="s">
        <v>26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0</v>
      </c>
      <c r="O1" s="1" t="s">
        <v>11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V1" s="1" t="s">
        <v>24</v>
      </c>
      <c r="W1" s="1" t="s">
        <v>25</v>
      </c>
    </row>
    <row r="2" spans="1:23" x14ac:dyDescent="0.25">
      <c r="A2" s="2">
        <v>2013</v>
      </c>
      <c r="B2" s="2">
        <v>0</v>
      </c>
      <c r="C2" s="2"/>
      <c r="D2" s="2">
        <v>0</v>
      </c>
      <c r="E2" s="2">
        <v>1</v>
      </c>
      <c r="F2" s="2" t="s">
        <v>3</v>
      </c>
      <c r="H2" s="2">
        <v>13.599</v>
      </c>
      <c r="I2" s="2">
        <v>2.5960000000000001</v>
      </c>
      <c r="J2" s="2">
        <v>0.05</v>
      </c>
      <c r="K2" s="2">
        <v>0.51200000000000001</v>
      </c>
      <c r="L2" s="2">
        <f>5.625+22.188</f>
        <v>27.812999999999999</v>
      </c>
      <c r="M2" s="2">
        <v>1.444</v>
      </c>
      <c r="N2" s="2">
        <v>21.119</v>
      </c>
      <c r="V2" s="1">
        <f t="shared" ref="V2:V7" si="0">SUM(H2:M2)</f>
        <v>46.014000000000003</v>
      </c>
    </row>
    <row r="3" spans="1:23" x14ac:dyDescent="0.25">
      <c r="A3" s="2">
        <v>2022</v>
      </c>
      <c r="B3" s="2">
        <v>0.6</v>
      </c>
      <c r="C3" s="2"/>
      <c r="D3" s="2">
        <v>0</v>
      </c>
      <c r="E3" s="2">
        <v>1</v>
      </c>
      <c r="F3" s="2" t="s">
        <v>3</v>
      </c>
      <c r="G3" s="2"/>
      <c r="H3" s="2">
        <v>85.066000000000003</v>
      </c>
      <c r="I3" s="2">
        <v>4.2930000000000001</v>
      </c>
      <c r="J3" s="2">
        <v>0.19</v>
      </c>
      <c r="K3" s="2">
        <v>0.437</v>
      </c>
      <c r="L3" s="2">
        <f>5.494+22.617</f>
        <v>28.111000000000001</v>
      </c>
      <c r="M3" s="2">
        <v>5.2619999999999996</v>
      </c>
      <c r="N3" s="2">
        <v>21.896999999999998</v>
      </c>
      <c r="V3" s="1">
        <f t="shared" si="0"/>
        <v>123.35900000000001</v>
      </c>
    </row>
    <row r="4" spans="1:23" x14ac:dyDescent="0.25">
      <c r="A4" s="2">
        <v>2024</v>
      </c>
      <c r="B4" s="2">
        <v>1</v>
      </c>
      <c r="C4" s="2"/>
      <c r="D4" s="2">
        <v>0</v>
      </c>
      <c r="E4" s="2">
        <v>1</v>
      </c>
      <c r="F4" s="2" t="s">
        <v>3</v>
      </c>
      <c r="G4" s="2"/>
      <c r="H4" s="2">
        <v>91.61</v>
      </c>
      <c r="I4" s="2">
        <v>5.5419999999999998</v>
      </c>
      <c r="J4" s="2">
        <v>0.28999999999999998</v>
      </c>
      <c r="K4" s="2">
        <v>0.46100000000000002</v>
      </c>
      <c r="L4" s="2">
        <f>5.494+22.7</f>
        <v>28.193999999999999</v>
      </c>
      <c r="M4" s="2">
        <v>6.681</v>
      </c>
      <c r="N4" s="2">
        <v>21.85</v>
      </c>
      <c r="V4" s="1">
        <f t="shared" si="0"/>
        <v>132.77800000000002</v>
      </c>
    </row>
    <row r="5" spans="1:23" x14ac:dyDescent="0.25">
      <c r="A5" s="1">
        <v>2030</v>
      </c>
      <c r="B5" s="1">
        <v>2</v>
      </c>
      <c r="C5" s="1" t="s">
        <v>12</v>
      </c>
      <c r="D5" s="1">
        <v>0</v>
      </c>
      <c r="E5" s="1">
        <v>0</v>
      </c>
      <c r="F5" s="1" t="s">
        <v>4</v>
      </c>
      <c r="G5" s="1">
        <v>-2.5000000000000001E-3</v>
      </c>
      <c r="H5" s="1">
        <v>103.5</v>
      </c>
      <c r="I5" s="1">
        <v>17.899999999999999</v>
      </c>
      <c r="J5" s="1">
        <v>5.7</v>
      </c>
      <c r="K5" s="1">
        <v>1.5</v>
      </c>
      <c r="L5" s="1">
        <v>28.700000000000003</v>
      </c>
      <c r="M5" s="1">
        <v>8</v>
      </c>
      <c r="O5" s="1">
        <v>117.6</v>
      </c>
      <c r="P5" s="1">
        <v>17.899999999999999</v>
      </c>
      <c r="Q5" s="1">
        <v>5.7</v>
      </c>
      <c r="R5" s="1">
        <v>1.5</v>
      </c>
      <c r="S5" s="1">
        <v>28.700000000000003</v>
      </c>
      <c r="T5" s="1">
        <v>8</v>
      </c>
      <c r="V5" s="1">
        <f t="shared" si="0"/>
        <v>165.3</v>
      </c>
      <c r="W5" s="1">
        <f>SUM(O5:T5)</f>
        <v>179.39999999999998</v>
      </c>
    </row>
    <row r="6" spans="1:23" x14ac:dyDescent="0.25">
      <c r="A6" s="1">
        <v>2035</v>
      </c>
      <c r="B6" s="1">
        <v>3</v>
      </c>
      <c r="C6" s="1" t="s">
        <v>12</v>
      </c>
      <c r="D6" s="1">
        <v>0</v>
      </c>
      <c r="E6" s="1">
        <v>0</v>
      </c>
      <c r="F6" s="1" t="s">
        <v>4</v>
      </c>
      <c r="G6" s="1">
        <v>-2.5000000000000001E-3</v>
      </c>
      <c r="H6" s="1">
        <v>129.05000000000001</v>
      </c>
      <c r="I6" s="1">
        <v>13.75</v>
      </c>
      <c r="J6" s="1">
        <v>6.5500000000000007</v>
      </c>
      <c r="K6" s="1">
        <v>1.5</v>
      </c>
      <c r="L6" s="1">
        <v>26.1</v>
      </c>
      <c r="M6" s="1">
        <v>8.75</v>
      </c>
      <c r="O6" s="1">
        <v>168.2</v>
      </c>
      <c r="P6" s="1">
        <v>13.75</v>
      </c>
      <c r="Q6" s="1">
        <v>11.5</v>
      </c>
      <c r="R6" s="1">
        <v>2.25</v>
      </c>
      <c r="S6" s="1">
        <v>33.799999999999997</v>
      </c>
      <c r="T6" s="1">
        <v>10.3</v>
      </c>
      <c r="V6" s="1">
        <f t="shared" si="0"/>
        <v>185.70000000000002</v>
      </c>
      <c r="W6" s="1">
        <f t="shared" ref="W6:W13" si="1">SUM(O6:T6)</f>
        <v>239.8</v>
      </c>
    </row>
    <row r="7" spans="1:23" x14ac:dyDescent="0.25">
      <c r="A7" s="1">
        <v>2040</v>
      </c>
      <c r="B7" s="1">
        <v>4</v>
      </c>
      <c r="C7" s="1" t="s">
        <v>12</v>
      </c>
      <c r="D7" s="1">
        <v>0</v>
      </c>
      <c r="E7" s="1">
        <v>0</v>
      </c>
      <c r="F7" s="1" t="s">
        <v>4</v>
      </c>
      <c r="G7" s="1">
        <v>-2.5000000000000001E-3</v>
      </c>
      <c r="H7" s="1">
        <v>154.6</v>
      </c>
      <c r="I7" s="1">
        <v>9.6</v>
      </c>
      <c r="J7" s="1">
        <v>7.4</v>
      </c>
      <c r="K7" s="1">
        <v>1.5</v>
      </c>
      <c r="L7" s="1">
        <v>23.5</v>
      </c>
      <c r="M7" s="1">
        <v>9.5</v>
      </c>
      <c r="O7" s="1">
        <v>218.8</v>
      </c>
      <c r="P7" s="1">
        <v>9.6</v>
      </c>
      <c r="Q7" s="1">
        <v>17.3</v>
      </c>
      <c r="R7" s="1">
        <v>3</v>
      </c>
      <c r="S7" s="1">
        <v>38.9</v>
      </c>
      <c r="T7" s="1">
        <v>12.6</v>
      </c>
      <c r="V7" s="1">
        <f t="shared" si="0"/>
        <v>206.1</v>
      </c>
      <c r="W7" s="1">
        <f t="shared" si="1"/>
        <v>300.20000000000005</v>
      </c>
    </row>
    <row r="8" spans="1:23" x14ac:dyDescent="0.25">
      <c r="A8" s="1">
        <v>2030</v>
      </c>
      <c r="B8" s="1">
        <v>2</v>
      </c>
      <c r="C8" s="1" t="s">
        <v>21</v>
      </c>
      <c r="D8" s="1">
        <v>0.2</v>
      </c>
      <c r="E8" s="1">
        <v>0</v>
      </c>
      <c r="F8" s="1" t="s">
        <v>3</v>
      </c>
      <c r="H8" s="2">
        <v>125</v>
      </c>
      <c r="I8" s="2">
        <v>26</v>
      </c>
      <c r="J8" s="2">
        <v>8.1999999999999993</v>
      </c>
      <c r="K8" s="2">
        <v>1.5</v>
      </c>
      <c r="L8" s="2">
        <f>50.7-O8</f>
        <v>50.7</v>
      </c>
      <c r="M8" s="2">
        <v>8</v>
      </c>
      <c r="V8" s="1">
        <f t="shared" ref="V8:V13" si="2">SUM(H8:M8)</f>
        <v>219.39999999999998</v>
      </c>
      <c r="W8" s="1">
        <f t="shared" si="1"/>
        <v>0</v>
      </c>
    </row>
    <row r="9" spans="1:23" x14ac:dyDescent="0.25">
      <c r="A9" s="1">
        <v>2035</v>
      </c>
      <c r="B9" s="1">
        <v>3</v>
      </c>
      <c r="C9" s="1" t="s">
        <v>21</v>
      </c>
      <c r="D9" s="1">
        <v>0.2</v>
      </c>
      <c r="E9" s="1">
        <v>0</v>
      </c>
      <c r="F9" s="1" t="s">
        <v>3</v>
      </c>
      <c r="H9" s="2">
        <v>193.7</v>
      </c>
      <c r="I9" s="2">
        <v>30.5</v>
      </c>
      <c r="J9" s="2">
        <v>44</v>
      </c>
      <c r="K9" s="2">
        <v>1.5</v>
      </c>
      <c r="L9" s="2">
        <f>50.7-O9</f>
        <v>50.7</v>
      </c>
      <c r="M9" s="2">
        <v>8</v>
      </c>
      <c r="V9" s="1">
        <f t="shared" si="2"/>
        <v>328.4</v>
      </c>
      <c r="W9" s="1">
        <f t="shared" si="1"/>
        <v>0</v>
      </c>
    </row>
    <row r="10" spans="1:23" x14ac:dyDescent="0.25">
      <c r="A10" s="1">
        <v>2040</v>
      </c>
      <c r="B10" s="1">
        <v>4</v>
      </c>
      <c r="C10" s="1" t="s">
        <v>21</v>
      </c>
      <c r="D10" s="1">
        <v>0.2</v>
      </c>
      <c r="E10" s="1">
        <v>0</v>
      </c>
      <c r="F10" s="1" t="s">
        <v>3</v>
      </c>
      <c r="H10" s="2">
        <v>262.89999999999998</v>
      </c>
      <c r="I10" s="2">
        <v>35</v>
      </c>
      <c r="J10" s="2">
        <v>135</v>
      </c>
      <c r="K10" s="2">
        <v>1.5</v>
      </c>
      <c r="L10" s="2">
        <f>50.7-O10</f>
        <v>50.7</v>
      </c>
      <c r="M10" s="2">
        <v>8</v>
      </c>
      <c r="V10" s="1">
        <f t="shared" si="2"/>
        <v>493.09999999999997</v>
      </c>
      <c r="W10" s="1">
        <f t="shared" si="1"/>
        <v>0</v>
      </c>
    </row>
    <row r="11" spans="1:23" x14ac:dyDescent="0.25">
      <c r="A11" s="1">
        <v>2030</v>
      </c>
      <c r="B11" s="1">
        <v>2</v>
      </c>
      <c r="C11" s="1" t="s">
        <v>23</v>
      </c>
      <c r="D11" s="1">
        <v>-0.2</v>
      </c>
      <c r="E11" s="1">
        <v>0</v>
      </c>
      <c r="F11" s="1" t="s">
        <v>4</v>
      </c>
      <c r="G11" s="1">
        <v>-2.5000000000000001E-3</v>
      </c>
      <c r="H11" s="1">
        <v>104.8</v>
      </c>
      <c r="I11" s="1">
        <v>7.6</v>
      </c>
      <c r="J11" s="1">
        <v>0.55000000000000004</v>
      </c>
      <c r="K11" s="1">
        <v>1</v>
      </c>
      <c r="L11" s="1">
        <v>30</v>
      </c>
      <c r="M11" s="1">
        <v>8</v>
      </c>
      <c r="O11" s="1">
        <v>121.29</v>
      </c>
      <c r="P11" s="1">
        <v>7.6</v>
      </c>
      <c r="Q11" s="1">
        <v>0.55000000000000004</v>
      </c>
      <c r="R11" s="1">
        <v>1</v>
      </c>
      <c r="S11" s="1">
        <v>30</v>
      </c>
      <c r="T11" s="1">
        <v>8</v>
      </c>
      <c r="V11" s="1">
        <f t="shared" si="2"/>
        <v>151.94999999999999</v>
      </c>
      <c r="W11" s="1">
        <f t="shared" si="1"/>
        <v>168.44000000000003</v>
      </c>
    </row>
    <row r="12" spans="1:23" x14ac:dyDescent="0.25">
      <c r="A12" s="1">
        <v>2035</v>
      </c>
      <c r="B12" s="1">
        <v>3</v>
      </c>
      <c r="C12" s="1" t="s">
        <v>23</v>
      </c>
      <c r="D12" s="1">
        <v>-0.2</v>
      </c>
      <c r="E12" s="1">
        <v>0</v>
      </c>
      <c r="F12" s="1" t="s">
        <v>4</v>
      </c>
      <c r="G12" s="1">
        <v>-2.5000000000000001E-3</v>
      </c>
      <c r="H12" s="1">
        <v>117.47</v>
      </c>
      <c r="I12" s="1">
        <v>9.2899999999999991</v>
      </c>
      <c r="J12" s="1">
        <v>0.77</v>
      </c>
      <c r="K12" s="1">
        <v>1</v>
      </c>
      <c r="L12" s="1">
        <v>30</v>
      </c>
      <c r="M12" s="1">
        <v>8</v>
      </c>
      <c r="O12" s="1">
        <v>147.69999999999999</v>
      </c>
      <c r="P12" s="1">
        <v>9.2899999999999991</v>
      </c>
      <c r="Q12" s="1">
        <v>0.77</v>
      </c>
      <c r="R12" s="1">
        <v>1</v>
      </c>
      <c r="S12" s="1">
        <v>30</v>
      </c>
      <c r="T12" s="1">
        <v>8</v>
      </c>
      <c r="V12" s="1">
        <f t="shared" si="2"/>
        <v>166.52999999999997</v>
      </c>
      <c r="W12" s="1">
        <f t="shared" si="1"/>
        <v>196.76</v>
      </c>
    </row>
    <row r="13" spans="1:23" x14ac:dyDescent="0.25">
      <c r="A13" s="1">
        <v>2040</v>
      </c>
      <c r="B13" s="1">
        <v>4</v>
      </c>
      <c r="C13" s="1" t="s">
        <v>23</v>
      </c>
      <c r="D13" s="1">
        <v>-0.2</v>
      </c>
      <c r="E13" s="1">
        <v>0</v>
      </c>
      <c r="F13" s="1" t="s">
        <v>4</v>
      </c>
      <c r="G13" s="1">
        <v>0</v>
      </c>
      <c r="H13" s="1">
        <v>130.13</v>
      </c>
      <c r="I13" s="1">
        <v>10.97</v>
      </c>
      <c r="J13" s="1">
        <v>0.99</v>
      </c>
      <c r="K13" s="1">
        <v>1</v>
      </c>
      <c r="L13" s="1">
        <v>30</v>
      </c>
      <c r="M13" s="1">
        <v>8</v>
      </c>
      <c r="O13" s="1">
        <v>174.11</v>
      </c>
      <c r="P13" s="1">
        <v>10.97</v>
      </c>
      <c r="Q13" s="1">
        <v>0.99</v>
      </c>
      <c r="R13" s="1">
        <v>1</v>
      </c>
      <c r="S13" s="1">
        <v>30</v>
      </c>
      <c r="T13" s="1">
        <v>8</v>
      </c>
      <c r="V13" s="1">
        <f t="shared" si="2"/>
        <v>181.09</v>
      </c>
      <c r="W13" s="1">
        <f t="shared" si="1"/>
        <v>225.07000000000002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6A166-43B7-4B44-8793-E16C2D76A238}">
  <dimension ref="A1:W13"/>
  <sheetViews>
    <sheetView tabSelected="1" workbookViewId="0">
      <selection activeCell="G12" sqref="G12"/>
    </sheetView>
  </sheetViews>
  <sheetFormatPr baseColWidth="10" defaultRowHeight="18" x14ac:dyDescent="0.25"/>
  <cols>
    <col min="1" max="16384" width="10.83203125" style="1"/>
  </cols>
  <sheetData>
    <row r="1" spans="1:23" x14ac:dyDescent="0.25">
      <c r="A1" s="1" t="s">
        <v>19</v>
      </c>
      <c r="B1" s="1" t="s">
        <v>18</v>
      </c>
      <c r="C1" s="1" t="s">
        <v>1</v>
      </c>
      <c r="D1" s="1" t="s">
        <v>20</v>
      </c>
      <c r="E1" s="1" t="s">
        <v>22</v>
      </c>
      <c r="F1" s="1" t="s">
        <v>2</v>
      </c>
      <c r="G1" s="1" t="s">
        <v>26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0</v>
      </c>
      <c r="O1" s="1" t="s">
        <v>11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V1" s="1" t="s">
        <v>24</v>
      </c>
      <c r="W1" s="1" t="s">
        <v>25</v>
      </c>
    </row>
    <row r="2" spans="1:23" x14ac:dyDescent="0.25">
      <c r="A2" s="2">
        <v>2013</v>
      </c>
      <c r="B2" s="2">
        <v>0</v>
      </c>
      <c r="C2" s="2"/>
      <c r="D2" s="2">
        <v>0</v>
      </c>
      <c r="E2" s="2">
        <v>1</v>
      </c>
      <c r="F2" s="2" t="s">
        <v>3</v>
      </c>
      <c r="H2" s="2">
        <v>13.599</v>
      </c>
      <c r="I2" s="2">
        <v>2.5960000000000001</v>
      </c>
      <c r="J2" s="2">
        <v>0.05</v>
      </c>
      <c r="K2" s="2">
        <v>0.51200000000000001</v>
      </c>
      <c r="L2" s="2">
        <f>5.625+22.188</f>
        <v>27.812999999999999</v>
      </c>
      <c r="M2" s="2">
        <v>1.444</v>
      </c>
      <c r="N2" s="2">
        <v>21.119</v>
      </c>
      <c r="V2" s="1">
        <f t="shared" ref="V2:V13" si="0">SUM(H2:M2)</f>
        <v>46.014000000000003</v>
      </c>
    </row>
    <row r="3" spans="1:23" x14ac:dyDescent="0.25">
      <c r="A3" s="2">
        <v>2022</v>
      </c>
      <c r="B3" s="2">
        <v>0.6</v>
      </c>
      <c r="C3" s="2"/>
      <c r="D3" s="2">
        <v>0</v>
      </c>
      <c r="E3" s="2">
        <v>1</v>
      </c>
      <c r="F3" s="2" t="s">
        <v>3</v>
      </c>
      <c r="G3" s="2"/>
      <c r="H3" s="2">
        <v>85.066000000000003</v>
      </c>
      <c r="I3" s="2">
        <v>4.2930000000000001</v>
      </c>
      <c r="J3" s="2">
        <v>0.19</v>
      </c>
      <c r="K3" s="2">
        <v>0.437</v>
      </c>
      <c r="L3" s="2">
        <f>5.494+22.617</f>
        <v>28.111000000000001</v>
      </c>
      <c r="M3" s="2">
        <v>5.2619999999999996</v>
      </c>
      <c r="N3" s="2">
        <v>21.896999999999998</v>
      </c>
      <c r="V3" s="1">
        <f t="shared" si="0"/>
        <v>123.35900000000001</v>
      </c>
    </row>
    <row r="4" spans="1:23" x14ac:dyDescent="0.25">
      <c r="A4" s="2">
        <v>2024</v>
      </c>
      <c r="B4" s="2">
        <v>1</v>
      </c>
      <c r="C4" s="2"/>
      <c r="D4" s="2">
        <v>0</v>
      </c>
      <c r="E4" s="2">
        <v>1</v>
      </c>
      <c r="F4" s="2" t="s">
        <v>3</v>
      </c>
      <c r="G4" s="2"/>
      <c r="H4" s="2">
        <v>91.61</v>
      </c>
      <c r="I4" s="2">
        <v>5.5419999999999998</v>
      </c>
      <c r="J4" s="2">
        <v>0.28999999999999998</v>
      </c>
      <c r="K4" s="2">
        <v>0.46100000000000002</v>
      </c>
      <c r="L4" s="2">
        <f>5.494+22.7</f>
        <v>28.193999999999999</v>
      </c>
      <c r="M4" s="2">
        <v>6.681</v>
      </c>
      <c r="N4" s="2">
        <v>21.85</v>
      </c>
      <c r="V4" s="1">
        <f t="shared" si="0"/>
        <v>132.77800000000002</v>
      </c>
    </row>
    <row r="5" spans="1:23" x14ac:dyDescent="0.25">
      <c r="A5" s="1">
        <v>2030</v>
      </c>
      <c r="B5" s="1">
        <v>2</v>
      </c>
      <c r="C5" s="1" t="s">
        <v>12</v>
      </c>
      <c r="D5" s="1">
        <v>0</v>
      </c>
      <c r="E5" s="1">
        <v>0</v>
      </c>
      <c r="F5" s="1" t="s">
        <v>4</v>
      </c>
      <c r="G5" s="1">
        <v>0</v>
      </c>
      <c r="H5" s="1">
        <v>103.5</v>
      </c>
      <c r="I5" s="1">
        <v>17.899999999999999</v>
      </c>
      <c r="J5" s="1">
        <v>5.7</v>
      </c>
      <c r="K5" s="1">
        <v>1.5</v>
      </c>
      <c r="L5" s="1">
        <v>28.700000000000003</v>
      </c>
      <c r="M5" s="1">
        <v>8</v>
      </c>
      <c r="O5" s="1">
        <v>117.6</v>
      </c>
      <c r="P5" s="1">
        <v>17.899999999999999</v>
      </c>
      <c r="Q5" s="1">
        <v>5.7</v>
      </c>
      <c r="R5" s="1">
        <v>1.5</v>
      </c>
      <c r="S5" s="1">
        <v>28.700000000000003</v>
      </c>
      <c r="T5" s="1">
        <v>8</v>
      </c>
      <c r="V5" s="1">
        <f t="shared" si="0"/>
        <v>165.3</v>
      </c>
      <c r="W5" s="1">
        <f>SUM(O5:T5)</f>
        <v>179.39999999999998</v>
      </c>
    </row>
    <row r="6" spans="1:23" x14ac:dyDescent="0.25">
      <c r="A6" s="1">
        <v>2035</v>
      </c>
      <c r="B6" s="1">
        <v>3</v>
      </c>
      <c r="C6" s="1" t="s">
        <v>12</v>
      </c>
      <c r="D6" s="1">
        <v>0</v>
      </c>
      <c r="E6" s="1">
        <v>0</v>
      </c>
      <c r="F6" s="1" t="s">
        <v>4</v>
      </c>
      <c r="G6" s="1">
        <v>-2.5000000000000001E-3</v>
      </c>
      <c r="H6" s="1">
        <v>129.05000000000001</v>
      </c>
      <c r="I6" s="1">
        <v>13.75</v>
      </c>
      <c r="J6" s="1">
        <v>6.5500000000000007</v>
      </c>
      <c r="K6" s="1">
        <v>1.5</v>
      </c>
      <c r="L6" s="1">
        <v>26.1</v>
      </c>
      <c r="M6" s="1">
        <v>8.75</v>
      </c>
      <c r="O6" s="1">
        <v>168.2</v>
      </c>
      <c r="P6" s="1">
        <v>13.75</v>
      </c>
      <c r="Q6" s="1">
        <v>11.5</v>
      </c>
      <c r="R6" s="1">
        <v>2.25</v>
      </c>
      <c r="S6" s="1">
        <v>33.799999999999997</v>
      </c>
      <c r="T6" s="1">
        <v>10.3</v>
      </c>
      <c r="V6" s="1">
        <f t="shared" si="0"/>
        <v>185.70000000000002</v>
      </c>
      <c r="W6" s="1">
        <f t="shared" ref="W6:W13" si="1">SUM(O6:T6)</f>
        <v>239.8</v>
      </c>
    </row>
    <row r="7" spans="1:23" x14ac:dyDescent="0.25">
      <c r="A7" s="1">
        <v>2040</v>
      </c>
      <c r="B7" s="1">
        <v>4</v>
      </c>
      <c r="C7" s="1" t="s">
        <v>12</v>
      </c>
      <c r="D7" s="1">
        <v>0</v>
      </c>
      <c r="E7" s="1">
        <v>0</v>
      </c>
      <c r="F7" s="1" t="s">
        <v>4</v>
      </c>
      <c r="G7" s="1">
        <v>-2.5000000000000001E-3</v>
      </c>
      <c r="H7" s="1">
        <v>154.6</v>
      </c>
      <c r="I7" s="1">
        <v>9.6</v>
      </c>
      <c r="J7" s="1">
        <v>7.4</v>
      </c>
      <c r="K7" s="1">
        <v>1.5</v>
      </c>
      <c r="L7" s="1">
        <v>23.5</v>
      </c>
      <c r="M7" s="1">
        <v>9.5</v>
      </c>
      <c r="O7" s="1">
        <v>218.8</v>
      </c>
      <c r="P7" s="1">
        <v>9.6</v>
      </c>
      <c r="Q7" s="1">
        <v>17.3</v>
      </c>
      <c r="R7" s="1">
        <v>3</v>
      </c>
      <c r="S7" s="1">
        <v>38.9</v>
      </c>
      <c r="T7" s="1">
        <v>12.6</v>
      </c>
      <c r="V7" s="1">
        <f t="shared" si="0"/>
        <v>206.1</v>
      </c>
      <c r="W7" s="1">
        <f t="shared" si="1"/>
        <v>300.20000000000005</v>
      </c>
    </row>
    <row r="8" spans="1:23" x14ac:dyDescent="0.25">
      <c r="A8" s="1">
        <v>2030</v>
      </c>
      <c r="B8" s="1">
        <v>2</v>
      </c>
      <c r="C8" s="1" t="s">
        <v>21</v>
      </c>
      <c r="D8" s="1">
        <v>0.2</v>
      </c>
      <c r="E8" s="1">
        <v>0</v>
      </c>
      <c r="F8" s="1" t="s">
        <v>3</v>
      </c>
      <c r="H8" s="2">
        <v>125</v>
      </c>
      <c r="I8" s="2">
        <v>26</v>
      </c>
      <c r="J8" s="2">
        <v>8.1999999999999993</v>
      </c>
      <c r="K8" s="2">
        <v>1.5</v>
      </c>
      <c r="L8" s="2">
        <f>50.7-O8</f>
        <v>50.7</v>
      </c>
      <c r="M8" s="2">
        <v>8</v>
      </c>
      <c r="V8" s="1">
        <f t="shared" si="0"/>
        <v>219.39999999999998</v>
      </c>
      <c r="W8" s="1">
        <f t="shared" si="1"/>
        <v>0</v>
      </c>
    </row>
    <row r="9" spans="1:23" x14ac:dyDescent="0.25">
      <c r="A9" s="1">
        <v>2035</v>
      </c>
      <c r="B9" s="1">
        <v>3</v>
      </c>
      <c r="C9" s="1" t="s">
        <v>21</v>
      </c>
      <c r="D9" s="1">
        <v>0.2</v>
      </c>
      <c r="E9" s="1">
        <v>0</v>
      </c>
      <c r="F9" s="1" t="s">
        <v>3</v>
      </c>
      <c r="H9" s="2">
        <v>193.7</v>
      </c>
      <c r="I9" s="2">
        <v>30.5</v>
      </c>
      <c r="J9" s="2">
        <v>44</v>
      </c>
      <c r="K9" s="2">
        <v>1.5</v>
      </c>
      <c r="L9" s="2">
        <f>50.7-O9</f>
        <v>50.7</v>
      </c>
      <c r="M9" s="2">
        <v>8</v>
      </c>
      <c r="V9" s="1">
        <f t="shared" si="0"/>
        <v>328.4</v>
      </c>
      <c r="W9" s="1">
        <f t="shared" si="1"/>
        <v>0</v>
      </c>
    </row>
    <row r="10" spans="1:23" x14ac:dyDescent="0.25">
      <c r="A10" s="1">
        <v>2040</v>
      </c>
      <c r="B10" s="1">
        <v>4</v>
      </c>
      <c r="C10" s="1" t="s">
        <v>21</v>
      </c>
      <c r="D10" s="1">
        <v>0.2</v>
      </c>
      <c r="E10" s="1">
        <v>0</v>
      </c>
      <c r="F10" s="1" t="s">
        <v>3</v>
      </c>
      <c r="H10" s="2">
        <v>262.89999999999998</v>
      </c>
      <c r="I10" s="2">
        <v>35</v>
      </c>
      <c r="J10" s="2">
        <v>135</v>
      </c>
      <c r="K10" s="2">
        <v>1.5</v>
      </c>
      <c r="L10" s="2">
        <f>50.7-O10</f>
        <v>50.7</v>
      </c>
      <c r="M10" s="2">
        <v>8</v>
      </c>
      <c r="V10" s="1">
        <f t="shared" si="0"/>
        <v>493.09999999999997</v>
      </c>
      <c r="W10" s="1">
        <f t="shared" si="1"/>
        <v>0</v>
      </c>
    </row>
    <row r="11" spans="1:23" x14ac:dyDescent="0.25">
      <c r="A11" s="1">
        <v>2030</v>
      </c>
      <c r="B11" s="1">
        <v>2</v>
      </c>
      <c r="C11" s="1" t="s">
        <v>23</v>
      </c>
      <c r="D11" s="1">
        <v>-0.2</v>
      </c>
      <c r="E11" s="1">
        <v>0</v>
      </c>
      <c r="F11" s="1" t="s">
        <v>4</v>
      </c>
      <c r="G11" s="1">
        <v>-2.5000000000000001E-3</v>
      </c>
      <c r="H11" s="1">
        <v>104.8</v>
      </c>
      <c r="I11" s="1">
        <v>7.6</v>
      </c>
      <c r="J11" s="1">
        <v>0.55000000000000004</v>
      </c>
      <c r="K11" s="1">
        <v>1</v>
      </c>
      <c r="L11" s="1">
        <v>30</v>
      </c>
      <c r="M11" s="1">
        <v>8</v>
      </c>
      <c r="O11" s="1">
        <v>121.29</v>
      </c>
      <c r="P11" s="1">
        <v>7.6</v>
      </c>
      <c r="Q11" s="1">
        <v>0.55000000000000004</v>
      </c>
      <c r="R11" s="1">
        <v>1</v>
      </c>
      <c r="S11" s="1">
        <v>30</v>
      </c>
      <c r="T11" s="1">
        <v>8</v>
      </c>
      <c r="V11" s="1">
        <f t="shared" si="0"/>
        <v>151.94999999999999</v>
      </c>
      <c r="W11" s="1">
        <f t="shared" si="1"/>
        <v>168.44000000000003</v>
      </c>
    </row>
    <row r="12" spans="1:23" x14ac:dyDescent="0.25">
      <c r="A12" s="1">
        <v>2035</v>
      </c>
      <c r="B12" s="1">
        <v>3</v>
      </c>
      <c r="C12" s="1" t="s">
        <v>23</v>
      </c>
      <c r="D12" s="1">
        <v>-0.2</v>
      </c>
      <c r="E12" s="1">
        <v>0</v>
      </c>
      <c r="F12" s="1" t="s">
        <v>4</v>
      </c>
      <c r="G12" s="1">
        <v>0</v>
      </c>
      <c r="H12" s="1">
        <v>117.47</v>
      </c>
      <c r="I12" s="1">
        <v>9.2899999999999991</v>
      </c>
      <c r="J12" s="1">
        <v>0.77</v>
      </c>
      <c r="K12" s="1">
        <v>1</v>
      </c>
      <c r="L12" s="1">
        <v>30</v>
      </c>
      <c r="M12" s="1">
        <v>8</v>
      </c>
      <c r="O12" s="1">
        <v>147.69999999999999</v>
      </c>
      <c r="P12" s="1">
        <v>9.2899999999999991</v>
      </c>
      <c r="Q12" s="1">
        <v>0.77</v>
      </c>
      <c r="R12" s="1">
        <v>1</v>
      </c>
      <c r="S12" s="1">
        <v>30</v>
      </c>
      <c r="T12" s="1">
        <v>8</v>
      </c>
      <c r="V12" s="1">
        <f t="shared" si="0"/>
        <v>166.52999999999997</v>
      </c>
      <c r="W12" s="1">
        <f t="shared" si="1"/>
        <v>196.76</v>
      </c>
    </row>
    <row r="13" spans="1:23" x14ac:dyDescent="0.25">
      <c r="A13" s="1">
        <v>2040</v>
      </c>
      <c r="B13" s="1">
        <v>4</v>
      </c>
      <c r="C13" s="1" t="s">
        <v>23</v>
      </c>
      <c r="D13" s="1">
        <v>-0.2</v>
      </c>
      <c r="E13" s="1">
        <v>0</v>
      </c>
      <c r="F13" s="1" t="s">
        <v>4</v>
      </c>
      <c r="G13" s="1">
        <v>-2.5000000000000001E-3</v>
      </c>
      <c r="H13" s="1">
        <v>130.13</v>
      </c>
      <c r="I13" s="1">
        <v>10.97</v>
      </c>
      <c r="J13" s="1">
        <v>0.99</v>
      </c>
      <c r="K13" s="1">
        <v>1</v>
      </c>
      <c r="L13" s="1">
        <v>30</v>
      </c>
      <c r="M13" s="1">
        <v>8</v>
      </c>
      <c r="O13" s="1">
        <v>174.11</v>
      </c>
      <c r="P13" s="1">
        <v>10.97</v>
      </c>
      <c r="Q13" s="1">
        <v>0.99</v>
      </c>
      <c r="R13" s="1">
        <v>1</v>
      </c>
      <c r="S13" s="1">
        <v>30</v>
      </c>
      <c r="T13" s="1">
        <v>8</v>
      </c>
      <c r="V13" s="1">
        <f t="shared" si="0"/>
        <v>181.09</v>
      </c>
      <c r="W13" s="1">
        <f t="shared" si="1"/>
        <v>225.07000000000002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F7C6A-0DF2-9448-84AB-6DE88ED94311}">
  <dimension ref="A1:W13"/>
  <sheetViews>
    <sheetView workbookViewId="0">
      <selection activeCell="G13" sqref="G13"/>
    </sheetView>
  </sheetViews>
  <sheetFormatPr baseColWidth="10" defaultRowHeight="18" x14ac:dyDescent="0.25"/>
  <cols>
    <col min="1" max="16384" width="10.83203125" style="1"/>
  </cols>
  <sheetData>
    <row r="1" spans="1:23" x14ac:dyDescent="0.25">
      <c r="A1" s="1" t="s">
        <v>19</v>
      </c>
      <c r="B1" s="1" t="s">
        <v>18</v>
      </c>
      <c r="C1" s="1" t="s">
        <v>1</v>
      </c>
      <c r="D1" s="1" t="s">
        <v>20</v>
      </c>
      <c r="E1" s="1" t="s">
        <v>22</v>
      </c>
      <c r="F1" s="1" t="s">
        <v>2</v>
      </c>
      <c r="G1" s="1" t="s">
        <v>26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0</v>
      </c>
      <c r="O1" s="1" t="s">
        <v>11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V1" s="1" t="s">
        <v>24</v>
      </c>
      <c r="W1" s="1" t="s">
        <v>25</v>
      </c>
    </row>
    <row r="2" spans="1:23" x14ac:dyDescent="0.25">
      <c r="A2" s="2">
        <v>2013</v>
      </c>
      <c r="B2" s="2">
        <v>0</v>
      </c>
      <c r="C2" s="2"/>
      <c r="D2" s="2">
        <v>0</v>
      </c>
      <c r="E2" s="2">
        <v>1</v>
      </c>
      <c r="F2" s="2" t="s">
        <v>3</v>
      </c>
      <c r="H2" s="2">
        <v>13.599</v>
      </c>
      <c r="I2" s="2">
        <v>2.5960000000000001</v>
      </c>
      <c r="J2" s="2">
        <v>0.05</v>
      </c>
      <c r="K2" s="2">
        <v>0.51200000000000001</v>
      </c>
      <c r="L2" s="2">
        <f>5.625+22.188</f>
        <v>27.812999999999999</v>
      </c>
      <c r="M2" s="2">
        <v>1.444</v>
      </c>
      <c r="N2" s="2">
        <v>21.119</v>
      </c>
      <c r="V2" s="1">
        <f t="shared" ref="V2:V13" si="0">SUM(H2:M2)</f>
        <v>46.014000000000003</v>
      </c>
    </row>
    <row r="3" spans="1:23" x14ac:dyDescent="0.25">
      <c r="A3" s="2">
        <v>2022</v>
      </c>
      <c r="B3" s="2">
        <v>0.6</v>
      </c>
      <c r="C3" s="2"/>
      <c r="D3" s="2">
        <v>0</v>
      </c>
      <c r="E3" s="2">
        <v>1</v>
      </c>
      <c r="F3" s="2" t="s">
        <v>3</v>
      </c>
      <c r="G3" s="2"/>
      <c r="H3" s="2">
        <v>85.066000000000003</v>
      </c>
      <c r="I3" s="2">
        <v>4.2930000000000001</v>
      </c>
      <c r="J3" s="2">
        <v>0.19</v>
      </c>
      <c r="K3" s="2">
        <v>0.437</v>
      </c>
      <c r="L3" s="2">
        <f>5.494+22.617</f>
        <v>28.111000000000001</v>
      </c>
      <c r="M3" s="2">
        <v>5.2619999999999996</v>
      </c>
      <c r="N3" s="2">
        <v>21.896999999999998</v>
      </c>
      <c r="V3" s="1">
        <f t="shared" si="0"/>
        <v>123.35900000000001</v>
      </c>
    </row>
    <row r="4" spans="1:23" x14ac:dyDescent="0.25">
      <c r="A4" s="2">
        <v>2024</v>
      </c>
      <c r="B4" s="2">
        <v>1</v>
      </c>
      <c r="C4" s="2"/>
      <c r="D4" s="2">
        <v>0</v>
      </c>
      <c r="E4" s="2">
        <v>1</v>
      </c>
      <c r="F4" s="2" t="s">
        <v>3</v>
      </c>
      <c r="G4" s="2"/>
      <c r="H4" s="2">
        <v>91.61</v>
      </c>
      <c r="I4" s="2">
        <v>5.5419999999999998</v>
      </c>
      <c r="J4" s="2">
        <v>0.28999999999999998</v>
      </c>
      <c r="K4" s="2">
        <v>0.46100000000000002</v>
      </c>
      <c r="L4" s="2">
        <f>5.494+22.7</f>
        <v>28.193999999999999</v>
      </c>
      <c r="M4" s="2">
        <v>6.681</v>
      </c>
      <c r="N4" s="2">
        <v>21.85</v>
      </c>
      <c r="V4" s="1">
        <f t="shared" si="0"/>
        <v>132.77800000000002</v>
      </c>
    </row>
    <row r="5" spans="1:23" x14ac:dyDescent="0.25">
      <c r="A5" s="1">
        <v>2030</v>
      </c>
      <c r="B5" s="1">
        <v>2</v>
      </c>
      <c r="C5" s="1" t="s">
        <v>12</v>
      </c>
      <c r="D5" s="1">
        <v>0</v>
      </c>
      <c r="E5" s="1">
        <v>0</v>
      </c>
      <c r="F5" s="1" t="s">
        <v>4</v>
      </c>
      <c r="G5" s="1">
        <v>-2.5000000000000001E-3</v>
      </c>
      <c r="H5" s="1">
        <v>103.5</v>
      </c>
      <c r="I5" s="1">
        <v>17.899999999999999</v>
      </c>
      <c r="J5" s="1">
        <v>5.7</v>
      </c>
      <c r="K5" s="1">
        <v>1.5</v>
      </c>
      <c r="L5" s="1">
        <v>28.700000000000003</v>
      </c>
      <c r="M5" s="1">
        <v>8</v>
      </c>
      <c r="O5" s="1">
        <v>117.6</v>
      </c>
      <c r="P5" s="1">
        <v>17.899999999999999</v>
      </c>
      <c r="Q5" s="1">
        <v>5.7</v>
      </c>
      <c r="R5" s="1">
        <v>1.5</v>
      </c>
      <c r="S5" s="1">
        <v>28.700000000000003</v>
      </c>
      <c r="T5" s="1">
        <v>8</v>
      </c>
      <c r="V5" s="1">
        <f t="shared" si="0"/>
        <v>165.3</v>
      </c>
      <c r="W5" s="1">
        <f>SUM(O5:T5)</f>
        <v>179.39999999999998</v>
      </c>
    </row>
    <row r="6" spans="1:23" x14ac:dyDescent="0.25">
      <c r="A6" s="1">
        <v>2035</v>
      </c>
      <c r="B6" s="1">
        <v>3</v>
      </c>
      <c r="C6" s="1" t="s">
        <v>12</v>
      </c>
      <c r="D6" s="1">
        <v>0</v>
      </c>
      <c r="E6" s="1">
        <v>0</v>
      </c>
      <c r="F6" s="1" t="s">
        <v>4</v>
      </c>
      <c r="G6" s="1">
        <v>-2.5000000000000001E-3</v>
      </c>
      <c r="H6" s="1">
        <v>129.05000000000001</v>
      </c>
      <c r="I6" s="1">
        <v>13.75</v>
      </c>
      <c r="J6" s="1">
        <v>6.5500000000000007</v>
      </c>
      <c r="K6" s="1">
        <v>1.5</v>
      </c>
      <c r="L6" s="1">
        <v>26.1</v>
      </c>
      <c r="M6" s="1">
        <v>8.75</v>
      </c>
      <c r="O6" s="1">
        <v>168.2</v>
      </c>
      <c r="P6" s="1">
        <v>13.75</v>
      </c>
      <c r="Q6" s="1">
        <v>11.5</v>
      </c>
      <c r="R6" s="1">
        <v>2.25</v>
      </c>
      <c r="S6" s="1">
        <v>33.799999999999997</v>
      </c>
      <c r="T6" s="1">
        <v>10.3</v>
      </c>
      <c r="V6" s="1">
        <f t="shared" si="0"/>
        <v>185.70000000000002</v>
      </c>
      <c r="W6" s="1">
        <f t="shared" ref="W6:W13" si="1">SUM(O6:T6)</f>
        <v>239.8</v>
      </c>
    </row>
    <row r="7" spans="1:23" x14ac:dyDescent="0.25">
      <c r="A7" s="1">
        <v>2040</v>
      </c>
      <c r="B7" s="1">
        <v>4</v>
      </c>
      <c r="C7" s="1" t="s">
        <v>12</v>
      </c>
      <c r="D7" s="1">
        <v>0</v>
      </c>
      <c r="E7" s="1">
        <v>0</v>
      </c>
      <c r="F7" s="1" t="s">
        <v>4</v>
      </c>
      <c r="G7" s="1">
        <v>-2.5000000000000001E-3</v>
      </c>
      <c r="H7" s="1">
        <v>154.6</v>
      </c>
      <c r="I7" s="1">
        <v>9.6</v>
      </c>
      <c r="J7" s="1">
        <v>7.4</v>
      </c>
      <c r="K7" s="1">
        <v>1.5</v>
      </c>
      <c r="L7" s="1">
        <v>23.5</v>
      </c>
      <c r="M7" s="1">
        <v>9.5</v>
      </c>
      <c r="O7" s="1">
        <v>218.8</v>
      </c>
      <c r="P7" s="1">
        <v>9.6</v>
      </c>
      <c r="Q7" s="1">
        <v>17.3</v>
      </c>
      <c r="R7" s="1">
        <v>3</v>
      </c>
      <c r="S7" s="1">
        <v>38.9</v>
      </c>
      <c r="T7" s="1">
        <v>12.6</v>
      </c>
      <c r="V7" s="1">
        <f t="shared" si="0"/>
        <v>206.1</v>
      </c>
      <c r="W7" s="1">
        <f t="shared" si="1"/>
        <v>300.20000000000005</v>
      </c>
    </row>
    <row r="8" spans="1:23" x14ac:dyDescent="0.25">
      <c r="A8" s="1">
        <v>2030</v>
      </c>
      <c r="B8" s="1">
        <v>2</v>
      </c>
      <c r="C8" s="1" t="s">
        <v>21</v>
      </c>
      <c r="D8" s="1">
        <v>0.2</v>
      </c>
      <c r="E8" s="1">
        <v>0</v>
      </c>
      <c r="F8" s="1" t="s">
        <v>3</v>
      </c>
      <c r="H8" s="2">
        <v>125</v>
      </c>
      <c r="I8" s="2">
        <v>26</v>
      </c>
      <c r="J8" s="2">
        <v>8.1999999999999993</v>
      </c>
      <c r="K8" s="2">
        <v>1.5</v>
      </c>
      <c r="L8" s="2">
        <f>50.7-O8</f>
        <v>50.7</v>
      </c>
      <c r="M8" s="2">
        <v>8</v>
      </c>
      <c r="V8" s="1">
        <f t="shared" si="0"/>
        <v>219.39999999999998</v>
      </c>
      <c r="W8" s="1">
        <f t="shared" si="1"/>
        <v>0</v>
      </c>
    </row>
    <row r="9" spans="1:23" x14ac:dyDescent="0.25">
      <c r="A9" s="1">
        <v>2035</v>
      </c>
      <c r="B9" s="1">
        <v>3</v>
      </c>
      <c r="C9" s="1" t="s">
        <v>21</v>
      </c>
      <c r="D9" s="1">
        <v>0.2</v>
      </c>
      <c r="E9" s="1">
        <v>0</v>
      </c>
      <c r="F9" s="1" t="s">
        <v>3</v>
      </c>
      <c r="H9" s="2">
        <v>193.7</v>
      </c>
      <c r="I9" s="2">
        <v>30.5</v>
      </c>
      <c r="J9" s="2">
        <v>44</v>
      </c>
      <c r="K9" s="2">
        <v>1.5</v>
      </c>
      <c r="L9" s="2">
        <f>50.7-O9</f>
        <v>50.7</v>
      </c>
      <c r="M9" s="2">
        <v>8</v>
      </c>
      <c r="V9" s="1">
        <f t="shared" si="0"/>
        <v>328.4</v>
      </c>
      <c r="W9" s="1">
        <f t="shared" si="1"/>
        <v>0</v>
      </c>
    </row>
    <row r="10" spans="1:23" x14ac:dyDescent="0.25">
      <c r="A10" s="1">
        <v>2040</v>
      </c>
      <c r="B10" s="1">
        <v>4</v>
      </c>
      <c r="C10" s="1" t="s">
        <v>21</v>
      </c>
      <c r="D10" s="1">
        <v>0.2</v>
      </c>
      <c r="E10" s="1">
        <v>0</v>
      </c>
      <c r="F10" s="1" t="s">
        <v>3</v>
      </c>
      <c r="H10" s="2">
        <v>262.89999999999998</v>
      </c>
      <c r="I10" s="2">
        <v>35</v>
      </c>
      <c r="J10" s="2">
        <v>135</v>
      </c>
      <c r="K10" s="2">
        <v>1.5</v>
      </c>
      <c r="L10" s="2">
        <f>50.7-O10</f>
        <v>50.7</v>
      </c>
      <c r="M10" s="2">
        <v>8</v>
      </c>
      <c r="V10" s="1">
        <f t="shared" si="0"/>
        <v>493.09999999999997</v>
      </c>
      <c r="W10" s="1">
        <f t="shared" si="1"/>
        <v>0</v>
      </c>
    </row>
    <row r="11" spans="1:23" x14ac:dyDescent="0.25">
      <c r="A11" s="1">
        <v>2030</v>
      </c>
      <c r="B11" s="1">
        <v>2</v>
      </c>
      <c r="C11" s="1" t="s">
        <v>23</v>
      </c>
      <c r="D11" s="1">
        <v>-0.2</v>
      </c>
      <c r="E11" s="1">
        <v>0</v>
      </c>
      <c r="F11" s="1" t="s">
        <v>4</v>
      </c>
      <c r="G11" s="1">
        <v>-2.5000000000000001E-3</v>
      </c>
      <c r="H11" s="1">
        <v>97.679000000000002</v>
      </c>
      <c r="I11" s="1">
        <v>7.5990000000000002</v>
      </c>
      <c r="J11" s="1">
        <v>0.54800000000000004</v>
      </c>
      <c r="K11" s="1">
        <v>1</v>
      </c>
      <c r="L11" s="1">
        <v>30</v>
      </c>
      <c r="M11" s="1">
        <v>8</v>
      </c>
      <c r="O11" s="1">
        <v>121.2925326</v>
      </c>
      <c r="P11" s="1">
        <v>7.5990000000000002</v>
      </c>
      <c r="Q11" s="1">
        <v>5.7</v>
      </c>
      <c r="R11" s="1">
        <v>1</v>
      </c>
      <c r="S11" s="1">
        <v>30</v>
      </c>
      <c r="T11" s="1">
        <v>8</v>
      </c>
      <c r="V11" s="1">
        <f t="shared" si="0"/>
        <v>144.82600000000002</v>
      </c>
      <c r="W11" s="1">
        <f t="shared" si="1"/>
        <v>173.59153259999999</v>
      </c>
    </row>
    <row r="12" spans="1:23" x14ac:dyDescent="0.25">
      <c r="A12" s="1">
        <v>2035</v>
      </c>
      <c r="B12" s="1">
        <v>3</v>
      </c>
      <c r="C12" s="1" t="s">
        <v>23</v>
      </c>
      <c r="D12" s="1">
        <v>-0.2</v>
      </c>
      <c r="E12" s="1">
        <v>0</v>
      </c>
      <c r="F12" s="1" t="s">
        <v>4</v>
      </c>
      <c r="G12" s="1">
        <v>-2.5000000000000001E-3</v>
      </c>
      <c r="H12" s="1">
        <v>97.679000000000002</v>
      </c>
      <c r="I12" s="1">
        <v>9.2859999999999996</v>
      </c>
      <c r="J12" s="1">
        <v>0.76700000000000002</v>
      </c>
      <c r="K12" s="1">
        <v>1</v>
      </c>
      <c r="L12" s="1">
        <v>30</v>
      </c>
      <c r="M12" s="1">
        <v>8</v>
      </c>
      <c r="O12" s="1">
        <v>147.70186559999999</v>
      </c>
      <c r="P12" s="1">
        <v>9.2859999999999996</v>
      </c>
      <c r="Q12" s="1">
        <v>6.55</v>
      </c>
      <c r="R12" s="1">
        <v>1</v>
      </c>
      <c r="S12" s="1">
        <v>30</v>
      </c>
      <c r="T12" s="1">
        <v>8</v>
      </c>
      <c r="V12" s="1">
        <f t="shared" si="0"/>
        <v>146.732</v>
      </c>
      <c r="W12" s="1">
        <f t="shared" si="1"/>
        <v>202.5378656</v>
      </c>
    </row>
    <row r="13" spans="1:23" x14ac:dyDescent="0.25">
      <c r="A13" s="1">
        <v>2040</v>
      </c>
      <c r="B13" s="1">
        <v>4</v>
      </c>
      <c r="C13" s="1" t="s">
        <v>23</v>
      </c>
      <c r="D13" s="1">
        <v>-0.2</v>
      </c>
      <c r="E13" s="1">
        <v>0</v>
      </c>
      <c r="F13" s="1" t="s">
        <v>4</v>
      </c>
      <c r="G13" s="1">
        <v>0</v>
      </c>
      <c r="H13" s="1">
        <v>97.679000000000002</v>
      </c>
      <c r="I13" s="1">
        <v>10.974</v>
      </c>
      <c r="J13" s="1">
        <v>0.98599999999999999</v>
      </c>
      <c r="K13" s="1">
        <v>1</v>
      </c>
      <c r="L13" s="1">
        <v>30</v>
      </c>
      <c r="M13" s="1">
        <v>8</v>
      </c>
      <c r="O13" s="1">
        <v>174.11119859999999</v>
      </c>
      <c r="P13" s="1">
        <v>10.974</v>
      </c>
      <c r="Q13" s="1">
        <v>7.4</v>
      </c>
      <c r="R13" s="1">
        <v>1</v>
      </c>
      <c r="S13" s="1">
        <v>30</v>
      </c>
      <c r="T13" s="1">
        <v>8</v>
      </c>
      <c r="V13" s="1">
        <f t="shared" si="0"/>
        <v>148.63900000000001</v>
      </c>
      <c r="W13" s="1">
        <f t="shared" si="1"/>
        <v>231.48519859999999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Sheet1_for_cum</vt:lpstr>
      <vt:lpstr>Sheet1_20260331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ikuru iwata</dc:creator>
  <cp:lastModifiedBy>ikuru iwata</cp:lastModifiedBy>
  <dcterms:created xsi:type="dcterms:W3CDTF">2025-08-20T06:59:12Z</dcterms:created>
  <dcterms:modified xsi:type="dcterms:W3CDTF">2026-06-19T05:26:30Z</dcterms:modified>
</cp:coreProperties>
</file>