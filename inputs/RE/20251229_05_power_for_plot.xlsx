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13_ncr:1_{8C33A68C-DF0F-0B42-986D-2850B3105B91}" xr6:coauthVersionLast="47" xr6:coauthVersionMax="47" xr10:uidLastSave="{00000000-0000-0000-0000-000000000000}"/>
  <bookViews>
    <workbookView xWindow="5680" yWindow="26540" windowWidth="42460" windowHeight="15600" xr2:uid="{C8DFDA68-D080-DA47-9187-6C7399365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2" i="1"/>
  <c r="AC3" i="1"/>
  <c r="AC2" i="1"/>
  <c r="AC6" i="1"/>
  <c r="AE6" i="1" s="1"/>
  <c r="AC5" i="1"/>
  <c r="AE5" i="1" s="1"/>
  <c r="AE13" i="1"/>
  <c r="AE12" i="1"/>
  <c r="AE11" i="1"/>
  <c r="AE10" i="1"/>
  <c r="AE9" i="1"/>
  <c r="AD8" i="1"/>
  <c r="AF8" i="1" s="1"/>
  <c r="AC8" i="1"/>
  <c r="AE8" i="1" s="1"/>
  <c r="AF7" i="1"/>
  <c r="AE7" i="1"/>
  <c r="AD7" i="1"/>
  <c r="AC7" i="1"/>
  <c r="AF4" i="1"/>
  <c r="AD4" i="1"/>
  <c r="AE4" i="1"/>
  <c r="AC4" i="1"/>
  <c r="AC13" i="1"/>
  <c r="AC12" i="1"/>
  <c r="AC11" i="1"/>
  <c r="AC10" i="1"/>
  <c r="AC9" i="1"/>
  <c r="S8" i="1" l="1"/>
  <c r="T7" i="1"/>
</calcChain>
</file>

<file path=xl/sharedStrings.xml><?xml version="1.0" encoding="utf-8"?>
<sst xmlns="http://schemas.openxmlformats.org/spreadsheetml/2006/main" count="75" uniqueCount="57">
  <si>
    <t>Year</t>
  </si>
  <si>
    <t>PV</t>
  </si>
  <si>
    <t>OnSW</t>
  </si>
  <si>
    <t>OffSW</t>
  </si>
  <si>
    <t>GeoT</t>
  </si>
  <si>
    <t>Hydro</t>
  </si>
  <si>
    <t>Biomass</t>
  </si>
  <si>
    <t>PV_high</t>
  </si>
  <si>
    <t>Unit</t>
  </si>
  <si>
    <t>TWh/yr</t>
  </si>
  <si>
    <t>Label</t>
  </si>
  <si>
    <t>SEP</t>
  </si>
  <si>
    <t>Gradient</t>
  </si>
  <si>
    <t>N</t>
  </si>
  <si>
    <t>Y</t>
  </si>
  <si>
    <t>OnSW_high</t>
  </si>
  <si>
    <t>OffSW_high</t>
  </si>
  <si>
    <t>GeoT_high</t>
  </si>
  <si>
    <t>Hydro_high</t>
  </si>
  <si>
    <t>Biomass_high</t>
  </si>
  <si>
    <t>1.5CRM</t>
  </si>
  <si>
    <t>PV, OffSWは系統電力のみ(水素製造分除く)</t>
  </si>
  <si>
    <t>Current</t>
  </si>
  <si>
    <t>x</t>
  </si>
  <si>
    <t>Offset</t>
  </si>
  <si>
    <t>Tone</t>
  </si>
  <si>
    <t>adjust</t>
  </si>
  <si>
    <t>Coal</t>
  </si>
  <si>
    <t>Oil</t>
  </si>
  <si>
    <t>Gas</t>
  </si>
  <si>
    <t>Nuclear</t>
  </si>
  <si>
    <t>Nuclear_high</t>
  </si>
  <si>
    <t>note</t>
  </si>
  <si>
    <t>SEP4</t>
  </si>
  <si>
    <t>H2</t>
  </si>
  <si>
    <t>NH3</t>
  </si>
  <si>
    <t>SEP1</t>
  </si>
  <si>
    <t>SEP2</t>
  </si>
  <si>
    <t>SEP3</t>
  </si>
  <si>
    <t>SEP5</t>
  </si>
  <si>
    <t>H2/NH3の区別指定なし</t>
  </si>
  <si>
    <t>Power</t>
  </si>
  <si>
    <t>Power_high</t>
  </si>
  <si>
    <t>RE_fraction</t>
  </si>
  <si>
    <t>RE_fraction_high</t>
  </si>
  <si>
    <t>成長実現</t>
  </si>
  <si>
    <t>再エネ</t>
  </si>
  <si>
    <t>水素系燃料</t>
  </si>
  <si>
    <t>CCS</t>
  </si>
  <si>
    <t>排出上振れ</t>
  </si>
  <si>
    <t>label_RITE</t>
  </si>
  <si>
    <t>革新技術拡大</t>
  </si>
  <si>
    <t>再エネ拡大</t>
  </si>
  <si>
    <t>水素・新燃料活用</t>
  </si>
  <si>
    <t>CCS活用</t>
  </si>
  <si>
    <t>技術進展</t>
  </si>
  <si>
    <t>label_SEP7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</si>
</sst>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.0_);_(* \(#,##0.0\);_(* &quot;-&quot;_);_(@_)"/>
    <numFmt numFmtId="165" formatCode="0.0"/>
    <numFmt numFmtId="166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1" fontId="2" fillId="0" borderId="0" xfId="1" applyFont="1"/>
    <xf numFmtId="164" fontId="2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164" fontId="2" fillId="0" borderId="0" xfId="0" applyNumberFormat="1" applyFont="1"/>
    <xf numFmtId="0" fontId="2" fillId="0" borderId="0" xfId="0" applyFont="1" applyAlignment="1">
      <alignment vertical="center"/>
    </xf>
    <xf numFmtId="166" fontId="2" fillId="0" borderId="0" xfId="0" applyNumberFormat="1" applyFont="1"/>
    <xf numFmtId="166" fontId="2" fillId="0" borderId="0" xfId="1" applyNumberFormat="1" applyFont="1"/>
    <xf numFmtId="16" fontId="2" fillId="0" borderId="0" xfId="1" quotePrefix="1" applyNumberFormat="1" applyFont="1"/>
    <xf numFmtId="41" fontId="2" fillId="0" borderId="0" xfId="1" quotePrefix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4DE7-3972-C14B-9668-6D0B7CEA31D5}">
  <dimension ref="A1:AH13"/>
  <sheetViews>
    <sheetView tabSelected="1" topLeftCell="C1" zoomScaleNormal="100" workbookViewId="0">
      <selection activeCell="AH2" sqref="AH2"/>
    </sheetView>
  </sheetViews>
  <sheetFormatPr baseColWidth="10" defaultRowHeight="18" x14ac:dyDescent="0.25"/>
  <cols>
    <col min="1" max="16384" width="10.83203125" style="1"/>
  </cols>
  <sheetData>
    <row r="1" spans="1:34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12</v>
      </c>
      <c r="F1" s="1" t="s">
        <v>26</v>
      </c>
      <c r="G1" s="1" t="s">
        <v>8</v>
      </c>
      <c r="H1" s="1" t="s">
        <v>10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34</v>
      </c>
      <c r="AA1" s="1" t="s">
        <v>35</v>
      </c>
      <c r="AB1" s="1" t="s">
        <v>32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50</v>
      </c>
      <c r="AH1" s="1" t="s">
        <v>56</v>
      </c>
    </row>
    <row r="2" spans="1:34" x14ac:dyDescent="0.25">
      <c r="A2" s="1">
        <v>2013</v>
      </c>
      <c r="B2" s="1">
        <v>0</v>
      </c>
      <c r="C2" s="1">
        <v>0</v>
      </c>
      <c r="D2" s="7">
        <v>1</v>
      </c>
      <c r="E2" s="1" t="s">
        <v>13</v>
      </c>
      <c r="F2" s="8"/>
      <c r="G2" s="1" t="s">
        <v>9</v>
      </c>
      <c r="I2" s="4">
        <v>12.9</v>
      </c>
      <c r="J2" s="4">
        <v>5.0999999999999996</v>
      </c>
      <c r="K2" s="4">
        <v>0.09</v>
      </c>
      <c r="L2" s="4">
        <v>2.6</v>
      </c>
      <c r="M2" s="4">
        <v>79.400000000000006</v>
      </c>
      <c r="N2" s="4">
        <v>17.8</v>
      </c>
      <c r="U2" s="1">
        <v>357.1</v>
      </c>
      <c r="V2" s="1">
        <v>156.69999999999999</v>
      </c>
      <c r="W2" s="1">
        <v>443.5</v>
      </c>
      <c r="X2" s="1">
        <v>9.3000000000000007</v>
      </c>
      <c r="Z2" s="1">
        <v>0</v>
      </c>
      <c r="AA2" s="1">
        <v>0</v>
      </c>
      <c r="AC2" s="4">
        <f>SUM(I2:N2)+SUM(U2:X2)+SUM(Z2:AA2)</f>
        <v>1084.49</v>
      </c>
      <c r="AE2" s="1">
        <f t="shared" ref="AE2:AE9" si="0">SUM(I2:N2)/AC2</f>
        <v>0.10870547446265065</v>
      </c>
    </row>
    <row r="3" spans="1:34" x14ac:dyDescent="0.25">
      <c r="A3" s="1">
        <v>2023</v>
      </c>
      <c r="B3" s="1">
        <v>1</v>
      </c>
      <c r="C3" s="1">
        <v>0</v>
      </c>
      <c r="D3" s="7">
        <v>1</v>
      </c>
      <c r="E3" s="1" t="s">
        <v>13</v>
      </c>
      <c r="F3" s="8"/>
      <c r="G3" s="1" t="s">
        <v>9</v>
      </c>
      <c r="I3" s="4">
        <v>96.5</v>
      </c>
      <c r="J3" s="4">
        <v>10.3</v>
      </c>
      <c r="K3" s="4">
        <v>0.2</v>
      </c>
      <c r="L3" s="4">
        <v>3.4000000000000004</v>
      </c>
      <c r="M3" s="4">
        <v>74.900000000000006</v>
      </c>
      <c r="N3" s="4">
        <v>40.800000000000004</v>
      </c>
      <c r="U3" s="1">
        <v>280</v>
      </c>
      <c r="V3" s="1">
        <v>72.900000000000006</v>
      </c>
      <c r="W3" s="1">
        <v>324.8</v>
      </c>
      <c r="X3" s="1">
        <v>84.1</v>
      </c>
      <c r="Z3" s="1">
        <v>0</v>
      </c>
      <c r="AA3" s="1">
        <v>0</v>
      </c>
      <c r="AC3" s="4">
        <f>SUM(I3:N3)+SUM(U3:X3)+SUM(Z3:AA3)</f>
        <v>987.90000000000009</v>
      </c>
      <c r="AE3" s="1">
        <f t="shared" si="0"/>
        <v>0.22886931875695921</v>
      </c>
    </row>
    <row r="4" spans="1:34" x14ac:dyDescent="0.25">
      <c r="A4" s="1">
        <v>2030</v>
      </c>
      <c r="B4" s="1">
        <v>2</v>
      </c>
      <c r="C4" s="1">
        <v>0</v>
      </c>
      <c r="D4" s="7">
        <v>0</v>
      </c>
      <c r="E4" s="2" t="s">
        <v>14</v>
      </c>
      <c r="F4" s="9">
        <v>0</v>
      </c>
      <c r="G4" s="1" t="s">
        <v>9</v>
      </c>
      <c r="H4" s="2" t="s">
        <v>11</v>
      </c>
      <c r="I4" s="5">
        <v>129</v>
      </c>
      <c r="J4" s="5">
        <v>34</v>
      </c>
      <c r="K4" s="5">
        <v>16.600000000000001</v>
      </c>
      <c r="L4" s="5">
        <v>11</v>
      </c>
      <c r="M4" s="5">
        <v>98</v>
      </c>
      <c r="N4" s="5">
        <v>47</v>
      </c>
      <c r="O4" s="4">
        <v>146</v>
      </c>
      <c r="P4" s="5">
        <v>34</v>
      </c>
      <c r="Q4" s="5">
        <v>16.600000000000001</v>
      </c>
      <c r="R4" s="5">
        <v>11</v>
      </c>
      <c r="S4" s="5">
        <v>98</v>
      </c>
      <c r="T4" s="5">
        <v>47</v>
      </c>
      <c r="U4" s="1">
        <v>178</v>
      </c>
      <c r="V4" s="1">
        <v>19</v>
      </c>
      <c r="W4" s="1">
        <v>187</v>
      </c>
      <c r="X4" s="1">
        <v>188</v>
      </c>
      <c r="Y4" s="1">
        <v>206</v>
      </c>
      <c r="Z4" s="1">
        <v>4.5</v>
      </c>
      <c r="AA4" s="1">
        <v>4.5</v>
      </c>
      <c r="AB4" s="1" t="s">
        <v>40</v>
      </c>
      <c r="AC4" s="4">
        <f>SUM(I4:N4)+SUM(U4:W4)+Y4+SUM(Z4:AA4)</f>
        <v>934.6</v>
      </c>
      <c r="AD4" s="4">
        <f>SUM(O4:T4)+SUM(U4:X4)+SUM(Z4:AA4)</f>
        <v>933.6</v>
      </c>
      <c r="AE4" s="1">
        <f t="shared" si="0"/>
        <v>0.35908410014979675</v>
      </c>
      <c r="AF4" s="1">
        <f>SUM(O4:T4)/AD4</f>
        <v>0.37767780634104542</v>
      </c>
    </row>
    <row r="5" spans="1:34" x14ac:dyDescent="0.25">
      <c r="A5" s="1">
        <v>2030</v>
      </c>
      <c r="B5" s="1">
        <v>2</v>
      </c>
      <c r="C5" s="1">
        <v>0.2</v>
      </c>
      <c r="D5" s="1">
        <v>0</v>
      </c>
      <c r="E5" s="2" t="s">
        <v>13</v>
      </c>
      <c r="F5" s="2"/>
      <c r="G5" s="1" t="s">
        <v>9</v>
      </c>
      <c r="H5" s="2" t="s">
        <v>20</v>
      </c>
      <c r="I5" s="5">
        <v>164.82276024843873</v>
      </c>
      <c r="J5" s="5">
        <v>67.565660780523359</v>
      </c>
      <c r="K5" s="5">
        <v>26.833716907930484</v>
      </c>
      <c r="L5" s="5">
        <v>13.00509600000006</v>
      </c>
      <c r="M5" s="5">
        <v>45.243305628820437</v>
      </c>
      <c r="N5" s="5">
        <v>59.370213613360427</v>
      </c>
      <c r="U5" s="1">
        <v>13.754669343494701</v>
      </c>
      <c r="V5" s="1">
        <v>0</v>
      </c>
      <c r="W5" s="1">
        <v>330.22276587254441</v>
      </c>
      <c r="X5" s="1">
        <v>169.10970489600018</v>
      </c>
      <c r="Z5" s="1">
        <v>17</v>
      </c>
      <c r="AA5" s="1">
        <v>0</v>
      </c>
      <c r="AC5" s="4">
        <f>SUM(I5:N5)+SUM(U5:X5)+SUM(Z5:AA5)</f>
        <v>906.9278932911127</v>
      </c>
      <c r="AD5" s="4"/>
      <c r="AE5" s="1">
        <f t="shared" si="0"/>
        <v>0.41551346691033159</v>
      </c>
    </row>
    <row r="6" spans="1:34" x14ac:dyDescent="0.25">
      <c r="A6" s="1">
        <v>2040</v>
      </c>
      <c r="B6" s="1">
        <v>4</v>
      </c>
      <c r="C6" s="1">
        <v>0.2</v>
      </c>
      <c r="D6" s="1">
        <v>0</v>
      </c>
      <c r="E6" s="2" t="s">
        <v>13</v>
      </c>
      <c r="F6" s="2"/>
      <c r="G6" s="1" t="s">
        <v>9</v>
      </c>
      <c r="H6" s="2" t="s">
        <v>20</v>
      </c>
      <c r="I6" s="4">
        <v>362.82948325798918</v>
      </c>
      <c r="J6" s="5">
        <v>84.550642891938026</v>
      </c>
      <c r="K6" s="5">
        <v>275.47147744436205</v>
      </c>
      <c r="L6" s="4">
        <v>8.5848000000000138</v>
      </c>
      <c r="M6" s="5">
        <v>77.005815153303971</v>
      </c>
      <c r="N6" s="4">
        <v>30.114721148538145</v>
      </c>
      <c r="U6" s="1">
        <v>0</v>
      </c>
      <c r="V6" s="1">
        <v>0</v>
      </c>
      <c r="W6" s="1">
        <v>33.740916994869551</v>
      </c>
      <c r="X6" s="1">
        <v>137.71877433600019</v>
      </c>
      <c r="Z6" s="1">
        <v>63</v>
      </c>
      <c r="AA6" s="1">
        <v>0</v>
      </c>
      <c r="AB6" s="1" t="s">
        <v>21</v>
      </c>
      <c r="AC6" s="4">
        <f>SUM(I6:N6)+SUM(U6:X6)+SUM(Z6:AA6)</f>
        <v>1073.0166312270012</v>
      </c>
      <c r="AD6" s="4"/>
      <c r="AE6" s="1">
        <f t="shared" si="0"/>
        <v>0.7814948207626905</v>
      </c>
    </row>
    <row r="7" spans="1:34" x14ac:dyDescent="0.25">
      <c r="A7" s="1">
        <v>2030</v>
      </c>
      <c r="B7" s="1">
        <v>2</v>
      </c>
      <c r="C7" s="1">
        <v>-0.2</v>
      </c>
      <c r="D7" s="1">
        <v>0</v>
      </c>
      <c r="E7" s="2" t="s">
        <v>14</v>
      </c>
      <c r="F7" s="9">
        <v>-2.5000000000000001E-3</v>
      </c>
      <c r="G7" s="1" t="s">
        <v>9</v>
      </c>
      <c r="H7" s="2" t="s">
        <v>22</v>
      </c>
      <c r="I7" s="3">
        <v>129</v>
      </c>
      <c r="J7" s="3">
        <v>12.7</v>
      </c>
      <c r="K7" s="3">
        <v>1.9</v>
      </c>
      <c r="L7" s="3">
        <v>4.1500000000000004</v>
      </c>
      <c r="M7" s="3">
        <v>45.2</v>
      </c>
      <c r="N7" s="3">
        <v>40</v>
      </c>
      <c r="O7" s="3">
        <v>151.19999999999999</v>
      </c>
      <c r="P7" s="3">
        <v>14.60205</v>
      </c>
      <c r="Q7" s="4">
        <v>19.986000000000001</v>
      </c>
      <c r="R7" s="6">
        <v>5</v>
      </c>
      <c r="S7" s="6">
        <v>75</v>
      </c>
      <c r="T7" s="6">
        <f t="shared" ref="T7" si="1">N7</f>
        <v>40</v>
      </c>
      <c r="U7" s="4">
        <v>229.4</v>
      </c>
      <c r="V7" s="4">
        <v>52.674999999999997</v>
      </c>
      <c r="W7" s="4">
        <v>215.2</v>
      </c>
      <c r="X7" s="4">
        <v>125.02500000000001</v>
      </c>
      <c r="Y7" s="1">
        <v>125</v>
      </c>
      <c r="Z7" s="1">
        <v>0</v>
      </c>
      <c r="AA7" s="1">
        <v>0</v>
      </c>
      <c r="AC7" s="4">
        <f>SUM(I7:N7)+SUM(U7:W7)+Y7+SUM(Z7:AA7)</f>
        <v>855.22499999999991</v>
      </c>
      <c r="AD7" s="4">
        <f>SUM(O7:T7)+SUM(U7:X7)+SUM(Z7:AA7)</f>
        <v>928.08804999999995</v>
      </c>
      <c r="AE7" s="1">
        <f t="shared" si="0"/>
        <v>0.27238446022976409</v>
      </c>
      <c r="AF7" s="1">
        <f>SUM(O7:T7)/AD7</f>
        <v>0.32948172320503427</v>
      </c>
    </row>
    <row r="8" spans="1:34" x14ac:dyDescent="0.25">
      <c r="A8" s="1">
        <v>2040</v>
      </c>
      <c r="B8" s="4">
        <v>3.5</v>
      </c>
      <c r="C8" s="1">
        <v>-0.7</v>
      </c>
      <c r="D8" s="1">
        <v>0</v>
      </c>
      <c r="E8" s="2" t="s">
        <v>14</v>
      </c>
      <c r="F8" s="9">
        <v>-2.5000000000000001E-3</v>
      </c>
      <c r="G8" s="1" t="s">
        <v>9</v>
      </c>
      <c r="H8" s="2" t="s">
        <v>22</v>
      </c>
      <c r="I8" s="3">
        <v>203.07816</v>
      </c>
      <c r="J8" s="3">
        <v>18.855229999999999</v>
      </c>
      <c r="K8" s="3">
        <v>3.4569999999999999</v>
      </c>
      <c r="L8" s="3">
        <v>5</v>
      </c>
      <c r="M8" s="3">
        <v>60.4</v>
      </c>
      <c r="N8" s="3">
        <v>40</v>
      </c>
      <c r="O8" s="3">
        <v>225.3</v>
      </c>
      <c r="P8" s="3">
        <v>20.64</v>
      </c>
      <c r="Q8" s="4">
        <v>25.946999999999999</v>
      </c>
      <c r="R8" s="6">
        <v>5.4</v>
      </c>
      <c r="S8" s="6">
        <f t="shared" ref="S8" si="2">M8</f>
        <v>60.4</v>
      </c>
      <c r="T8" s="6">
        <v>91.3</v>
      </c>
      <c r="U8" s="4">
        <v>143.22139999999999</v>
      </c>
      <c r="V8" s="4">
        <v>28.83</v>
      </c>
      <c r="W8" s="4">
        <v>57.95</v>
      </c>
      <c r="X8" s="4">
        <v>192.97</v>
      </c>
      <c r="Y8" s="1">
        <v>193</v>
      </c>
      <c r="Z8" s="1">
        <v>0</v>
      </c>
      <c r="AA8" s="1">
        <v>0</v>
      </c>
      <c r="AC8" s="4">
        <f>SUM(I8:N8)+SUM(U8:W8)+Y8+SUM(Z8:AA8)</f>
        <v>753.79178999999999</v>
      </c>
      <c r="AD8" s="4">
        <f>SUM(O8:T8)+SUM(U8:X8)+SUM(Z8:AA8)</f>
        <v>851.95839999999998</v>
      </c>
      <c r="AE8" s="1">
        <f t="shared" si="0"/>
        <v>0.43883522530803898</v>
      </c>
      <c r="AF8" s="1">
        <f>SUM(O8:T8)/AD8</f>
        <v>0.50353045406911889</v>
      </c>
    </row>
    <row r="9" spans="1:34" x14ac:dyDescent="0.25">
      <c r="A9" s="1">
        <v>2040</v>
      </c>
      <c r="B9" s="4">
        <v>3.5</v>
      </c>
      <c r="C9" s="1">
        <v>-0.4</v>
      </c>
      <c r="D9" s="1">
        <v>0</v>
      </c>
      <c r="E9" s="2" t="s">
        <v>13</v>
      </c>
      <c r="F9" s="2"/>
      <c r="H9" s="10" t="s">
        <v>33</v>
      </c>
      <c r="I9" s="1">
        <v>351</v>
      </c>
      <c r="J9" s="2">
        <v>25</v>
      </c>
      <c r="K9" s="2">
        <v>26</v>
      </c>
      <c r="L9" s="2">
        <v>15</v>
      </c>
      <c r="M9" s="2">
        <v>100</v>
      </c>
      <c r="N9" s="2">
        <v>62</v>
      </c>
      <c r="U9" s="1">
        <v>65</v>
      </c>
      <c r="V9" s="1">
        <v>0</v>
      </c>
      <c r="W9" s="1">
        <v>262</v>
      </c>
      <c r="X9" s="1">
        <v>240</v>
      </c>
      <c r="Z9" s="1">
        <v>58</v>
      </c>
      <c r="AA9" s="1">
        <v>0</v>
      </c>
      <c r="AC9" s="1">
        <f>SUM(I9:N9)+SUM(U9:X9)+SUM(Z9:AA9)</f>
        <v>1204</v>
      </c>
      <c r="AE9" s="1">
        <f t="shared" si="0"/>
        <v>0.48089700996677742</v>
      </c>
      <c r="AG9" s="1" t="s">
        <v>45</v>
      </c>
      <c r="AH9" s="1" t="s">
        <v>51</v>
      </c>
    </row>
    <row r="10" spans="1:34" x14ac:dyDescent="0.25">
      <c r="A10" s="1">
        <v>2040</v>
      </c>
      <c r="B10" s="4">
        <v>3.5</v>
      </c>
      <c r="C10" s="1">
        <v>-0.2</v>
      </c>
      <c r="D10" s="1">
        <v>0</v>
      </c>
      <c r="E10" s="2" t="s">
        <v>13</v>
      </c>
      <c r="F10" s="2"/>
      <c r="H10" s="11" t="s">
        <v>36</v>
      </c>
      <c r="I10" s="1">
        <v>322</v>
      </c>
      <c r="J10" s="3">
        <v>25</v>
      </c>
      <c r="K10" s="3">
        <v>61</v>
      </c>
      <c r="L10" s="3">
        <v>15</v>
      </c>
      <c r="M10" s="3">
        <v>100</v>
      </c>
      <c r="N10" s="3">
        <v>59</v>
      </c>
      <c r="O10" s="4"/>
      <c r="P10" s="5"/>
      <c r="Q10" s="5"/>
      <c r="R10" s="5"/>
      <c r="S10" s="5"/>
      <c r="T10" s="5"/>
      <c r="U10" s="1">
        <v>24</v>
      </c>
      <c r="V10" s="1">
        <v>0</v>
      </c>
      <c r="W10" s="1">
        <v>254</v>
      </c>
      <c r="X10" s="1">
        <v>230</v>
      </c>
      <c r="Z10" s="1">
        <v>50</v>
      </c>
      <c r="AA10" s="1">
        <v>13</v>
      </c>
      <c r="AC10" s="1">
        <f>SUM(I10:N10)+SUM(U10:X10)+SUM(Z10:AA10)</f>
        <v>1153</v>
      </c>
      <c r="AE10" s="1">
        <f t="shared" ref="AE10:AE13" si="3">SUM(I10:N10)/AC10</f>
        <v>0.5047701647875108</v>
      </c>
      <c r="AG10" s="1" t="s">
        <v>46</v>
      </c>
      <c r="AH10" s="1" t="s">
        <v>52</v>
      </c>
    </row>
    <row r="11" spans="1:34" x14ac:dyDescent="0.25">
      <c r="A11" s="1">
        <v>2040</v>
      </c>
      <c r="B11" s="4">
        <v>3.5</v>
      </c>
      <c r="C11" s="1">
        <v>0</v>
      </c>
      <c r="D11" s="1">
        <v>0</v>
      </c>
      <c r="E11" s="2" t="s">
        <v>13</v>
      </c>
      <c r="F11" s="2"/>
      <c r="H11" s="11" t="s">
        <v>37</v>
      </c>
      <c r="I11" s="2">
        <v>311</v>
      </c>
      <c r="J11" s="2">
        <v>25</v>
      </c>
      <c r="K11" s="2">
        <v>26</v>
      </c>
      <c r="L11" s="2">
        <v>15</v>
      </c>
      <c r="M11" s="2">
        <v>100</v>
      </c>
      <c r="N11" s="2">
        <v>63</v>
      </c>
      <c r="O11" s="2"/>
      <c r="P11" s="2"/>
      <c r="Q11" s="2"/>
      <c r="R11" s="2"/>
      <c r="S11" s="2"/>
      <c r="T11" s="2"/>
      <c r="U11" s="1">
        <v>3</v>
      </c>
      <c r="V11" s="1">
        <v>0</v>
      </c>
      <c r="W11" s="1">
        <v>235</v>
      </c>
      <c r="X11" s="1">
        <v>211</v>
      </c>
      <c r="Z11" s="1">
        <v>50</v>
      </c>
      <c r="AA11" s="1">
        <v>21</v>
      </c>
      <c r="AC11" s="1">
        <f>SUM(I11:N11)+SUM(U11:X11)+SUM(Z11:AA11)</f>
        <v>1060</v>
      </c>
      <c r="AE11" s="1">
        <f t="shared" si="3"/>
        <v>0.50943396226415094</v>
      </c>
      <c r="AG11" s="1" t="s">
        <v>47</v>
      </c>
      <c r="AH11" s="1" t="s">
        <v>53</v>
      </c>
    </row>
    <row r="12" spans="1:34" x14ac:dyDescent="0.25">
      <c r="A12" s="1">
        <v>2040</v>
      </c>
      <c r="B12" s="4">
        <v>3.5</v>
      </c>
      <c r="C12" s="1">
        <v>0.2</v>
      </c>
      <c r="D12" s="1">
        <v>0</v>
      </c>
      <c r="E12" s="2" t="s">
        <v>13</v>
      </c>
      <c r="F12" s="2"/>
      <c r="H12" s="11" t="s">
        <v>38</v>
      </c>
      <c r="I12" s="1">
        <v>248</v>
      </c>
      <c r="J12" s="2">
        <v>25</v>
      </c>
      <c r="K12" s="2">
        <v>26</v>
      </c>
      <c r="L12" s="2">
        <v>15</v>
      </c>
      <c r="M12" s="2">
        <v>100</v>
      </c>
      <c r="N12" s="2">
        <v>68</v>
      </c>
      <c r="U12" s="1">
        <v>34</v>
      </c>
      <c r="V12" s="1">
        <v>0</v>
      </c>
      <c r="W12" s="1">
        <v>272</v>
      </c>
      <c r="X12" s="1">
        <v>213</v>
      </c>
      <c r="Z12" s="1">
        <v>62</v>
      </c>
      <c r="AA12" s="1">
        <v>8</v>
      </c>
      <c r="AC12" s="1">
        <f>SUM(I12:N12)+SUM(U12:X12)+SUM(Z12:AA12)</f>
        <v>1071</v>
      </c>
      <c r="AE12" s="1">
        <f t="shared" si="3"/>
        <v>0.450046685340803</v>
      </c>
      <c r="AG12" s="1" t="s">
        <v>48</v>
      </c>
      <c r="AH12" s="1" t="s">
        <v>54</v>
      </c>
    </row>
    <row r="13" spans="1:34" x14ac:dyDescent="0.25">
      <c r="A13" s="1">
        <v>2040</v>
      </c>
      <c r="B13" s="4">
        <v>3.5</v>
      </c>
      <c r="C13" s="1">
        <v>0.4</v>
      </c>
      <c r="D13" s="1">
        <v>0</v>
      </c>
      <c r="E13" s="2" t="s">
        <v>13</v>
      </c>
      <c r="F13" s="2"/>
      <c r="H13" s="11" t="s">
        <v>39</v>
      </c>
      <c r="I13" s="1">
        <v>150</v>
      </c>
      <c r="J13" s="2">
        <v>25</v>
      </c>
      <c r="K13" s="2">
        <v>26</v>
      </c>
      <c r="L13" s="2">
        <v>15</v>
      </c>
      <c r="M13" s="2">
        <v>100</v>
      </c>
      <c r="N13" s="2">
        <v>61</v>
      </c>
      <c r="U13" s="1">
        <v>82</v>
      </c>
      <c r="V13" s="1">
        <v>2</v>
      </c>
      <c r="W13" s="1">
        <v>380</v>
      </c>
      <c r="X13" s="1">
        <v>215</v>
      </c>
      <c r="Z13" s="1">
        <v>22</v>
      </c>
      <c r="AA13" s="1">
        <v>0</v>
      </c>
      <c r="AC13" s="1">
        <f>SUM(I13:N13)+SUM(U13:X13)+SUM(Z13:AA13)</f>
        <v>1078</v>
      </c>
      <c r="AE13" s="1">
        <f t="shared" si="3"/>
        <v>0.349721706864564</v>
      </c>
      <c r="AG13" s="1" t="s">
        <v>49</v>
      </c>
      <c r="AH13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2025-09-08T00:07:27Z</dcterms:created>
  <dcterms:modified xsi:type="dcterms:W3CDTF">2026-01-16T05:51:36Z</dcterms:modified>
</cp:coreProperties>
</file>