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cuments/work/02NZPR/20250429work_NZPR/inputs/RE/"/>
    </mc:Choice>
  </mc:AlternateContent>
  <xr:revisionPtr revIDLastSave="0" documentId="13_ncr:1_{324E81C9-1C12-DB4F-A5DB-0CD7FCBF6BE7}" xr6:coauthVersionLast="47" xr6:coauthVersionMax="47" xr10:uidLastSave="{00000000-0000-0000-0000-000000000000}"/>
  <bookViews>
    <workbookView xWindow="2400" yWindow="14220" windowWidth="32220" windowHeight="16200" activeTab="1" xr2:uid="{A5E4F949-5D26-D943-96C0-3096D5B8D108}"/>
  </bookViews>
  <sheets>
    <sheet name="Sheet1" sheetId="1" r:id="rId1"/>
    <sheet name="for_pl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" i="1" l="1"/>
  <c r="F26" i="1"/>
  <c r="Q12" i="1"/>
  <c r="Q11" i="1"/>
  <c r="Q10" i="1"/>
  <c r="Q6" i="1"/>
  <c r="Q5" i="1"/>
  <c r="Q4" i="1"/>
  <c r="Q3" i="1"/>
  <c r="L27" i="1"/>
  <c r="L26" i="1"/>
  <c r="T26" i="1"/>
  <c r="T27" i="1"/>
  <c r="U22" i="1"/>
  <c r="U21" i="1"/>
  <c r="T22" i="1"/>
  <c r="T21" i="1"/>
  <c r="T18" i="1"/>
  <c r="T17" i="1"/>
  <c r="T16" i="1"/>
  <c r="T15" i="1"/>
  <c r="T12" i="1"/>
  <c r="T11" i="1"/>
  <c r="T10" i="1"/>
  <c r="T9" i="1"/>
  <c r="T6" i="1"/>
  <c r="T5" i="1"/>
  <c r="T4" i="1"/>
  <c r="T3" i="1"/>
  <c r="O22" i="1"/>
  <c r="O21" i="1"/>
  <c r="U18" i="1"/>
  <c r="S18" i="1"/>
  <c r="P18" i="1"/>
  <c r="U17" i="1"/>
  <c r="S17" i="1"/>
  <c r="P17" i="1"/>
  <c r="U16" i="1"/>
  <c r="S16" i="1"/>
  <c r="P16" i="1"/>
  <c r="U15" i="1"/>
  <c r="S15" i="1"/>
  <c r="P15" i="1"/>
  <c r="U12" i="1"/>
  <c r="S12" i="1"/>
  <c r="P12" i="1"/>
  <c r="U11" i="1"/>
  <c r="S11" i="1"/>
  <c r="P11" i="1"/>
  <c r="U10" i="1"/>
  <c r="S10" i="1"/>
  <c r="P10" i="1"/>
  <c r="U9" i="1"/>
  <c r="S9" i="1"/>
  <c r="P9" i="1"/>
  <c r="U6" i="1"/>
  <c r="S6" i="1"/>
  <c r="P6" i="1"/>
  <c r="U5" i="1"/>
  <c r="S5" i="1"/>
  <c r="P5" i="1"/>
  <c r="U4" i="1"/>
  <c r="S4" i="1"/>
  <c r="P4" i="1"/>
  <c r="U3" i="1"/>
  <c r="S3" i="1"/>
  <c r="P3" i="1"/>
  <c r="S22" i="1" l="1"/>
  <c r="S21" i="1"/>
</calcChain>
</file>

<file path=xl/sharedStrings.xml><?xml version="1.0" encoding="utf-8"?>
<sst xmlns="http://schemas.openxmlformats.org/spreadsheetml/2006/main" count="99" uniqueCount="47">
  <si>
    <t>政府目標</t>
  </si>
  <si>
    <t>石炭</t>
  </si>
  <si>
    <t>石油</t>
  </si>
  <si>
    <t>ガス</t>
  </si>
  <si>
    <t>バイオマスなど</t>
  </si>
  <si>
    <t>水力</t>
  </si>
  <si>
    <t>太陽光</t>
  </si>
  <si>
    <t>陸上風力</t>
  </si>
  <si>
    <t>洋上風力</t>
  </si>
  <si>
    <t>地熱</t>
  </si>
  <si>
    <t>原子力</t>
  </si>
  <si>
    <t>輸入水素</t>
  </si>
  <si>
    <t>輸入合成燃料</t>
  </si>
  <si>
    <t>合計</t>
  </si>
  <si>
    <t>基準年比</t>
  </si>
  <si>
    <t>化石燃料比率</t>
  </si>
  <si>
    <t>再エネ比率</t>
  </si>
  <si>
    <t>2015-2019
平均</t>
  </si>
  <si>
    <t>2030年</t>
  </si>
  <si>
    <t>2040年</t>
  </si>
  <si>
    <t>2050年</t>
  </si>
  <si>
    <t>バランス</t>
  </si>
  <si>
    <t>PJ</t>
  </si>
  <si>
    <t>バランスサブ</t>
  </si>
  <si>
    <t>総合エネルギー統計</t>
  </si>
  <si>
    <t>2024年度</t>
  </si>
  <si>
    <t>2023年度</t>
  </si>
  <si>
    <t>再エネ(除水力)</t>
  </si>
  <si>
    <t>未活用</t>
  </si>
  <si>
    <t>エネルギー自給率(IEA)</t>
  </si>
  <si>
    <t>エネルギー自給率＝一次エネルギー国内産出／一次エネルギー国内供給</t>
  </si>
  <si>
    <t>国内算出</t>
  </si>
  <si>
    <t>IEAベース</t>
  </si>
  <si>
    <t>production</t>
  </si>
  <si>
    <t>TES</t>
  </si>
  <si>
    <t>原子力推計値</t>
  </si>
  <si>
    <t>一次エネルギー供給量 (4-12)</t>
  </si>
  <si>
    <t>低位発熱量版IEA準拠表（参考表）</t>
  </si>
  <si>
    <t>再エネ推定値</t>
  </si>
  <si>
    <t>Nuc</t>
  </si>
  <si>
    <t>RE</t>
  </si>
  <si>
    <t>Year</t>
  </si>
  <si>
    <t>x</t>
  </si>
  <si>
    <t>offset</t>
  </si>
  <si>
    <t>Label</t>
  </si>
  <si>
    <t>1.5CRM</t>
  </si>
  <si>
    <t>label_color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</si>
</sst>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38" fontId="2" fillId="0" borderId="0" xfId="0" applyNumberFormat="1" applyFont="1"/>
    <xf numFmtId="9" fontId="2" fillId="0" borderId="0" xfId="0" applyNumberFormat="1" applyFont="1"/>
    <xf numFmtId="164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9A79-8CA2-AA4F-B04A-CC3C0ADE1623}">
  <dimension ref="A1:V27"/>
  <sheetViews>
    <sheetView workbookViewId="0">
      <selection activeCell="L10" sqref="L10:L12"/>
    </sheetView>
  </sheetViews>
  <sheetFormatPr baseColWidth="10" defaultRowHeight="18" x14ac:dyDescent="0.25"/>
  <cols>
    <col min="1" max="19" width="10.83203125" style="1"/>
    <col min="20" max="20" width="11.1640625" style="1" bestFit="1" customWidth="1"/>
    <col min="21" max="16384" width="10.83203125" style="1"/>
  </cols>
  <sheetData>
    <row r="1" spans="1:21" x14ac:dyDescent="0.25">
      <c r="A1" s="1" t="s">
        <v>36</v>
      </c>
    </row>
    <row r="2" spans="1:21" x14ac:dyDescent="0.25">
      <c r="A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S2" s="1" t="s">
        <v>15</v>
      </c>
      <c r="T2" s="1" t="s">
        <v>29</v>
      </c>
      <c r="U2" s="1" t="s">
        <v>16</v>
      </c>
    </row>
    <row r="3" spans="1:21" x14ac:dyDescent="0.25">
      <c r="B3" s="1" t="s">
        <v>17</v>
      </c>
      <c r="C3" s="2">
        <v>4879.4864066211121</v>
      </c>
      <c r="D3" s="2">
        <v>7589.4974639867687</v>
      </c>
      <c r="E3" s="2">
        <v>4490.4591213700915</v>
      </c>
      <c r="F3" s="2">
        <v>1198.0695939349202</v>
      </c>
      <c r="G3" s="2">
        <v>276.46363636363634</v>
      </c>
      <c r="H3" s="2">
        <v>185.69173130372289</v>
      </c>
      <c r="I3" s="2">
        <v>23.111461554077945</v>
      </c>
      <c r="J3" s="2">
        <v>0</v>
      </c>
      <c r="K3" s="2">
        <v>21.889103523073828</v>
      </c>
      <c r="L3" s="2">
        <v>320.96438269414926</v>
      </c>
      <c r="M3" s="2">
        <v>0</v>
      </c>
      <c r="N3" s="2">
        <v>0</v>
      </c>
      <c r="O3" s="2">
        <v>18985.632901351553</v>
      </c>
      <c r="P3" s="3">
        <f>O3/O3</f>
        <v>1</v>
      </c>
      <c r="Q3" s="1">
        <f>SUM(F3:K3)</f>
        <v>1705.2255266794314</v>
      </c>
      <c r="R3" s="3"/>
      <c r="S3" s="3">
        <f>SUM(C3:E3)/O3</f>
        <v>0.89327772637859548</v>
      </c>
      <c r="T3" s="3">
        <f>SUM(F3:L3)/O3</f>
        <v>0.10672227362140452</v>
      </c>
      <c r="U3" s="3">
        <f>SUM(F3:K3)/O3</f>
        <v>8.9816627949128813E-2</v>
      </c>
    </row>
    <row r="4" spans="1:21" x14ac:dyDescent="0.25">
      <c r="B4" s="1" t="s">
        <v>18</v>
      </c>
      <c r="C4" s="2">
        <v>2590.1365243271357</v>
      </c>
      <c r="D4" s="2">
        <v>5876.6189680177686</v>
      </c>
      <c r="E4" s="2">
        <v>2975.9213504082436</v>
      </c>
      <c r="F4" s="2">
        <v>1126.7018533622484</v>
      </c>
      <c r="G4" s="2">
        <v>161.73490276783158</v>
      </c>
      <c r="H4" s="2">
        <v>542.86983054135624</v>
      </c>
      <c r="I4" s="2">
        <v>151.50332636422954</v>
      </c>
      <c r="J4" s="2">
        <v>68.971637013809584</v>
      </c>
      <c r="K4" s="2">
        <v>46.818345600000193</v>
      </c>
      <c r="L4" s="2">
        <v>2788.3933143552026</v>
      </c>
      <c r="M4" s="2">
        <v>171.46525682655565</v>
      </c>
      <c r="N4" s="2">
        <v>0</v>
      </c>
      <c r="O4" s="2">
        <v>15393.913342015305</v>
      </c>
      <c r="P4" s="3">
        <f>O4/O3</f>
        <v>0.81081907682516285</v>
      </c>
      <c r="Q4" s="1">
        <f>SUM(F4:K4)</f>
        <v>2098.599895649475</v>
      </c>
      <c r="R4" s="3"/>
      <c r="S4" s="3">
        <f t="shared" ref="S4:S6" si="0">SUM(C4:E4)/O4</f>
        <v>0.74332475365585771</v>
      </c>
      <c r="T4" s="3">
        <f>SUM(F4:L4)/O4</f>
        <v>0.3174626946006241</v>
      </c>
      <c r="U4" s="3">
        <f t="shared" ref="U4:U6" si="1">SUM(F4:K4)/O4</f>
        <v>0.1363266018863229</v>
      </c>
    </row>
    <row r="5" spans="1:21" x14ac:dyDescent="0.25">
      <c r="B5" s="1" t="s">
        <v>19</v>
      </c>
      <c r="C5" s="2">
        <v>1645.9478788025203</v>
      </c>
      <c r="D5" s="2">
        <v>3802.6810560488711</v>
      </c>
      <c r="E5" s="2">
        <v>2199.8760236719054</v>
      </c>
      <c r="F5" s="2">
        <v>972.31184733291786</v>
      </c>
      <c r="G5" s="2">
        <v>328.70541245365683</v>
      </c>
      <c r="H5" s="2">
        <v>765.73315733716731</v>
      </c>
      <c r="I5" s="2">
        <v>286.03841622682296</v>
      </c>
      <c r="J5" s="2">
        <v>361.13498239125897</v>
      </c>
      <c r="K5" s="2">
        <v>30.905280000000051</v>
      </c>
      <c r="L5" s="2">
        <v>2201.9209257599982</v>
      </c>
      <c r="M5" s="2">
        <v>1130.8377876611314</v>
      </c>
      <c r="N5" s="2">
        <v>83.212753321343698</v>
      </c>
      <c r="O5" s="2">
        <v>13359.945932260098</v>
      </c>
      <c r="P5" s="3">
        <f>O5/O3</f>
        <v>0.70368715131477266</v>
      </c>
      <c r="Q5" s="1">
        <f>SUM(F5:K5)</f>
        <v>2744.8290957418239</v>
      </c>
      <c r="R5" s="3"/>
      <c r="S5" s="3">
        <f t="shared" si="0"/>
        <v>0.57249520299738232</v>
      </c>
      <c r="T5" s="3">
        <f>SUM(F5:L5)/O5</f>
        <v>0.37026721863873463</v>
      </c>
      <c r="U5" s="3">
        <f t="shared" si="1"/>
        <v>0.20545211108331798</v>
      </c>
    </row>
    <row r="6" spans="1:21" x14ac:dyDescent="0.25">
      <c r="B6" s="1" t="s">
        <v>20</v>
      </c>
      <c r="C6" s="2">
        <v>340.37070439842137</v>
      </c>
      <c r="D6" s="2">
        <v>1393.1033940195371</v>
      </c>
      <c r="E6" s="2">
        <v>3697.7226129356791</v>
      </c>
      <c r="F6" s="2">
        <v>1039.8689596758886</v>
      </c>
      <c r="G6" s="2">
        <v>353.38795346988513</v>
      </c>
      <c r="H6" s="2">
        <v>1147.8790969146446</v>
      </c>
      <c r="I6" s="2">
        <v>351.53872927727491</v>
      </c>
      <c r="J6" s="2">
        <v>558.6342678483993</v>
      </c>
      <c r="K6" s="2">
        <v>30.905280000000051</v>
      </c>
      <c r="L6" s="2">
        <v>1547.4811519799989</v>
      </c>
      <c r="M6" s="2">
        <v>2596.2328015271587</v>
      </c>
      <c r="N6" s="2">
        <v>469.34264527899245</v>
      </c>
      <c r="O6" s="2">
        <v>13751.204356581222</v>
      </c>
      <c r="P6" s="3">
        <f>O6/O3</f>
        <v>0.72429528307177471</v>
      </c>
      <c r="Q6" s="1">
        <f>SUM(F6:K6)</f>
        <v>3482.2142871860924</v>
      </c>
      <c r="R6" s="3"/>
      <c r="S6" s="3">
        <f t="shared" si="0"/>
        <v>0.39496152995168804</v>
      </c>
      <c r="T6" s="3">
        <f>SUM(F6:L6)/O6</f>
        <v>0.36576399482849059</v>
      </c>
      <c r="U6" s="3">
        <f t="shared" si="1"/>
        <v>0.25322976787262502</v>
      </c>
    </row>
    <row r="8" spans="1:21" x14ac:dyDescent="0.25">
      <c r="A8" s="1" t="s">
        <v>21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  <c r="K8" s="2" t="s">
        <v>9</v>
      </c>
      <c r="L8" s="2" t="s">
        <v>10</v>
      </c>
      <c r="M8" s="1" t="s">
        <v>11</v>
      </c>
      <c r="N8" s="1" t="s">
        <v>12</v>
      </c>
      <c r="O8" s="1" t="s">
        <v>22</v>
      </c>
      <c r="P8" s="1" t="s">
        <v>14</v>
      </c>
      <c r="S8" s="1" t="s">
        <v>15</v>
      </c>
      <c r="T8" s="1" t="s">
        <v>29</v>
      </c>
      <c r="U8" s="1" t="s">
        <v>16</v>
      </c>
    </row>
    <row r="9" spans="1:21" x14ac:dyDescent="0.25">
      <c r="B9" s="1" t="s">
        <v>17</v>
      </c>
      <c r="C9" s="2">
        <v>4879.4864066211121</v>
      </c>
      <c r="D9" s="2">
        <v>7589.4974639867687</v>
      </c>
      <c r="E9" s="2">
        <v>4490.4591213700915</v>
      </c>
      <c r="F9" s="2">
        <v>1198.0695939349202</v>
      </c>
      <c r="G9" s="2">
        <v>276.46363636363634</v>
      </c>
      <c r="H9" s="2">
        <v>185.69173130372289</v>
      </c>
      <c r="I9" s="2">
        <v>23.111461554077945</v>
      </c>
      <c r="J9" s="2">
        <v>0</v>
      </c>
      <c r="K9" s="2">
        <v>21.889103523073828</v>
      </c>
      <c r="L9" s="2">
        <v>320.96438269414926</v>
      </c>
      <c r="M9" s="2"/>
      <c r="N9" s="2"/>
      <c r="O9" s="2">
        <v>18985.632901351553</v>
      </c>
      <c r="P9" s="3">
        <f>O9/O9</f>
        <v>1</v>
      </c>
      <c r="Q9" s="3"/>
      <c r="R9" s="3"/>
      <c r="S9" s="3">
        <f>SUM(C9:E9)/O9</f>
        <v>0.89327772637859548</v>
      </c>
      <c r="T9" s="3">
        <f>SUM(F9:L9)/O9</f>
        <v>0.10672227362140452</v>
      </c>
      <c r="U9" s="3">
        <f>SUM(F9:K9)/O9</f>
        <v>8.9816627949128813E-2</v>
      </c>
    </row>
    <row r="10" spans="1:21" x14ac:dyDescent="0.25">
      <c r="B10" s="1" t="s">
        <v>18</v>
      </c>
      <c r="C10" s="2">
        <v>826.52207902181499</v>
      </c>
      <c r="D10" s="2">
        <v>4980.3373045942662</v>
      </c>
      <c r="E10" s="2">
        <v>4145.4701542027487</v>
      </c>
      <c r="F10" s="2">
        <v>1158.0052973864504</v>
      </c>
      <c r="G10" s="2">
        <v>162.87590026375358</v>
      </c>
      <c r="H10" s="2">
        <v>593.36193689437948</v>
      </c>
      <c r="I10" s="2">
        <v>243.23637880988409</v>
      </c>
      <c r="J10" s="2">
        <v>96.601380868549739</v>
      </c>
      <c r="K10" s="2">
        <v>46.818345600000221</v>
      </c>
      <c r="L10" s="2">
        <v>1844.833144320002</v>
      </c>
      <c r="M10" s="2">
        <v>154.85844701520341</v>
      </c>
      <c r="N10" s="2">
        <v>0</v>
      </c>
      <c r="O10" s="2">
        <v>14288.684619324311</v>
      </c>
      <c r="P10" s="3">
        <f>O10/O9</f>
        <v>0.75260512481030462</v>
      </c>
      <c r="Q10" s="1">
        <f>SUM(F10:K10)</f>
        <v>2300.8992398230175</v>
      </c>
      <c r="R10" s="3"/>
      <c r="S10" s="3">
        <f t="shared" ref="S10:S12" si="2">SUM(C10:E10)/O10</f>
        <v>0.69651824523855022</v>
      </c>
      <c r="T10" s="3">
        <f>SUM(F10:L10)/O10</f>
        <v>0.29014093981304939</v>
      </c>
      <c r="U10" s="3">
        <f t="shared" ref="U10:U12" si="3">SUM(F10:K10)/O10</f>
        <v>0.16102946500136436</v>
      </c>
    </row>
    <row r="11" spans="1:21" x14ac:dyDescent="0.25">
      <c r="B11" s="1" t="s">
        <v>19</v>
      </c>
      <c r="C11" s="2">
        <v>0.32967991368985688</v>
      </c>
      <c r="D11" s="2">
        <v>1913.8267814807177</v>
      </c>
      <c r="E11" s="2">
        <v>1555.8026612609428</v>
      </c>
      <c r="F11" s="2">
        <v>788.01310035171184</v>
      </c>
      <c r="G11" s="2">
        <v>277.22093455189429</v>
      </c>
      <c r="H11" s="2">
        <v>1379.4774922515833</v>
      </c>
      <c r="I11" s="2">
        <v>304.3823144109769</v>
      </c>
      <c r="J11" s="2">
        <v>1651.3194915051042</v>
      </c>
      <c r="K11" s="2">
        <v>30.905280000000051</v>
      </c>
      <c r="L11" s="2">
        <v>1502.3866291200022</v>
      </c>
      <c r="M11" s="2">
        <v>1109.4253507173053</v>
      </c>
      <c r="N11" s="2">
        <v>66.344763548032091</v>
      </c>
      <c r="O11" s="2">
        <v>10563.980730381194</v>
      </c>
      <c r="P11" s="3">
        <f>O11/O9</f>
        <v>0.55641972987000943</v>
      </c>
      <c r="Q11" s="1">
        <f>SUM(F11:K11)</f>
        <v>4431.3186130712702</v>
      </c>
      <c r="R11" s="3"/>
      <c r="S11" s="3">
        <f t="shared" si="2"/>
        <v>0.32847079251820438</v>
      </c>
      <c r="T11" s="3">
        <f>SUM(F11:L11)/O11</f>
        <v>0.56169216828712998</v>
      </c>
      <c r="U11" s="3">
        <f t="shared" si="3"/>
        <v>0.41947431807851937</v>
      </c>
    </row>
    <row r="12" spans="1:21" x14ac:dyDescent="0.25">
      <c r="B12" s="1" t="s">
        <v>20</v>
      </c>
      <c r="C12" s="2">
        <v>0</v>
      </c>
      <c r="D12" s="2">
        <v>144.97370449588215</v>
      </c>
      <c r="E12" s="2">
        <v>143.27656421422586</v>
      </c>
      <c r="F12" s="2">
        <v>652.29915161365238</v>
      </c>
      <c r="G12" s="2">
        <v>191.94378592932958</v>
      </c>
      <c r="H12" s="2">
        <v>2168.2408356749438</v>
      </c>
      <c r="I12" s="2">
        <v>301.56893918339279</v>
      </c>
      <c r="J12" s="2">
        <v>5040.1147809958211</v>
      </c>
      <c r="K12" s="2">
        <v>30.905280000000051</v>
      </c>
      <c r="L12" s="2">
        <v>1110.4023167999999</v>
      </c>
      <c r="M12" s="2">
        <v>0</v>
      </c>
      <c r="N12" s="2">
        <v>79.33145959619695</v>
      </c>
      <c r="O12" s="2">
        <v>9837.775097661106</v>
      </c>
      <c r="P12" s="3">
        <f>O12/O9</f>
        <v>0.51816945733532915</v>
      </c>
      <c r="Q12" s="1">
        <f>SUM(F12:K12)</f>
        <v>8385.0727733971416</v>
      </c>
      <c r="R12" s="3"/>
      <c r="S12" s="3">
        <f t="shared" si="2"/>
        <v>2.9300351537680347E-2</v>
      </c>
      <c r="T12" s="3">
        <f>SUM(F12:L12)/O12</f>
        <v>0.96520554657268542</v>
      </c>
      <c r="U12" s="3">
        <f t="shared" si="3"/>
        <v>0.85233426157410952</v>
      </c>
    </row>
    <row r="14" spans="1:21" x14ac:dyDescent="0.25">
      <c r="A14" s="1" t="s">
        <v>23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8</v>
      </c>
      <c r="K14" s="2" t="s">
        <v>9</v>
      </c>
      <c r="L14" s="2" t="s">
        <v>10</v>
      </c>
      <c r="M14" s="1" t="s">
        <v>11</v>
      </c>
      <c r="N14" s="1" t="s">
        <v>12</v>
      </c>
      <c r="O14" s="1" t="s">
        <v>22</v>
      </c>
      <c r="P14" s="1" t="s">
        <v>14</v>
      </c>
      <c r="S14" s="1" t="s">
        <v>15</v>
      </c>
      <c r="T14" s="1" t="s">
        <v>29</v>
      </c>
      <c r="U14" s="1" t="s">
        <v>16</v>
      </c>
    </row>
    <row r="15" spans="1:21" x14ac:dyDescent="0.25">
      <c r="B15" s="1" t="s">
        <v>17</v>
      </c>
      <c r="C15" s="2">
        <v>4879.4864066211121</v>
      </c>
      <c r="D15" s="2">
        <v>7589.4974639867687</v>
      </c>
      <c r="E15" s="2">
        <v>4490.4591213700915</v>
      </c>
      <c r="F15" s="2">
        <v>1198.0695939349202</v>
      </c>
      <c r="G15" s="2">
        <v>276.46363636363634</v>
      </c>
      <c r="H15" s="2">
        <v>185.69173130372289</v>
      </c>
      <c r="I15" s="2">
        <v>23.111461554077945</v>
      </c>
      <c r="J15" s="2">
        <v>0</v>
      </c>
      <c r="K15" s="2">
        <v>21.889103523073828</v>
      </c>
      <c r="L15" s="2">
        <v>320.96438269414926</v>
      </c>
      <c r="M15" s="2"/>
      <c r="N15" s="2"/>
      <c r="O15" s="2">
        <v>18985.632901351553</v>
      </c>
      <c r="P15" s="3">
        <f>O15/O15</f>
        <v>1</v>
      </c>
      <c r="Q15" s="3"/>
      <c r="R15" s="3"/>
      <c r="S15" s="3">
        <f>SUM(C15:E15)/O15</f>
        <v>0.89327772637859548</v>
      </c>
      <c r="T15" s="3">
        <f>SUM(F15:L15)/O15</f>
        <v>0.10672227362140452</v>
      </c>
      <c r="U15" s="3">
        <f>SUM(F15:K15)/O15</f>
        <v>8.9816627949128813E-2</v>
      </c>
    </row>
    <row r="16" spans="1:21" x14ac:dyDescent="0.25">
      <c r="B16" s="1" t="s">
        <v>18</v>
      </c>
      <c r="C16" s="2">
        <v>860.66008160820718</v>
      </c>
      <c r="D16" s="2">
        <v>4980.3373045942662</v>
      </c>
      <c r="E16" s="2">
        <v>4279.5552904664928</v>
      </c>
      <c r="F16" s="2">
        <v>1179.191433100975</v>
      </c>
      <c r="G16" s="2">
        <v>168.52532595030522</v>
      </c>
      <c r="H16" s="2">
        <v>599.24879108511459</v>
      </c>
      <c r="I16" s="2">
        <v>141.68723714159299</v>
      </c>
      <c r="J16" s="2">
        <v>96.860474464504108</v>
      </c>
      <c r="K16" s="2">
        <v>46.818345600000193</v>
      </c>
      <c r="L16" s="2">
        <v>1844.833144320002</v>
      </c>
      <c r="M16" s="2">
        <v>162.08733059865358</v>
      </c>
      <c r="N16" s="2">
        <v>0</v>
      </c>
      <c r="O16" s="2">
        <v>14395.569009277371</v>
      </c>
      <c r="P16" s="3">
        <f>O16/O15</f>
        <v>0.75823487602841921</v>
      </c>
      <c r="Q16" s="3"/>
      <c r="R16" s="3"/>
      <c r="S16" s="3">
        <f t="shared" ref="S16:S18" si="4">SUM(C16:E16)/O16</f>
        <v>0.70303248660380646</v>
      </c>
      <c r="T16" s="3">
        <f>SUM(F16:L16)/O16</f>
        <v>0.28322359116440093</v>
      </c>
      <c r="U16" s="3">
        <f t="shared" ref="U16:U18" si="5">SUM(F16:K16)/O16</f>
        <v>0.15507074474818211</v>
      </c>
    </row>
    <row r="17" spans="1:22" x14ac:dyDescent="0.25">
      <c r="B17" s="1" t="s">
        <v>19</v>
      </c>
      <c r="C17" s="2">
        <v>0.32967991368985688</v>
      </c>
      <c r="D17" s="2">
        <v>1913.8267814807177</v>
      </c>
      <c r="E17" s="2">
        <v>1912.7269309695916</v>
      </c>
      <c r="F17" s="2">
        <v>901.35514585322653</v>
      </c>
      <c r="G17" s="2">
        <v>306.90947097219771</v>
      </c>
      <c r="H17" s="2">
        <v>1362.0812654771087</v>
      </c>
      <c r="I17" s="2">
        <v>248.43485256563756</v>
      </c>
      <c r="J17" s="2">
        <v>1050.593279451145</v>
      </c>
      <c r="K17" s="2">
        <v>30.905280000000051</v>
      </c>
      <c r="L17" s="2">
        <v>1502.3866291200022</v>
      </c>
      <c r="M17" s="2">
        <v>1548.6867934408692</v>
      </c>
      <c r="N17" s="2">
        <v>66.344763548032091</v>
      </c>
      <c r="O17" s="2">
        <v>10829.12712406145</v>
      </c>
      <c r="P17" s="3">
        <f>O17/O15</f>
        <v>0.57038536351824987</v>
      </c>
      <c r="Q17" s="3"/>
      <c r="R17" s="3"/>
      <c r="S17" s="3">
        <f t="shared" si="4"/>
        <v>0.35338798303151991</v>
      </c>
      <c r="T17" s="3">
        <f>SUM(F17:L17)/O17</f>
        <v>0.49890132986203739</v>
      </c>
      <c r="U17" s="3">
        <f t="shared" si="5"/>
        <v>0.36016562088861331</v>
      </c>
    </row>
    <row r="18" spans="1:22" x14ac:dyDescent="0.25">
      <c r="B18" s="1" t="s">
        <v>20</v>
      </c>
      <c r="C18" s="2">
        <v>0</v>
      </c>
      <c r="D18" s="2">
        <v>144.97370449588215</v>
      </c>
      <c r="E18" s="2">
        <v>143.27656421422586</v>
      </c>
      <c r="F18" s="2">
        <v>744.34453560980774</v>
      </c>
      <c r="G18" s="2">
        <v>246.6785120184785</v>
      </c>
      <c r="H18" s="2">
        <v>2076.8033368161837</v>
      </c>
      <c r="I18" s="2">
        <v>295.61422754993202</v>
      </c>
      <c r="J18" s="2">
        <v>2387.0932218000171</v>
      </c>
      <c r="K18" s="2">
        <v>30.905280000000051</v>
      </c>
      <c r="L18" s="2">
        <v>1110.4023167999999</v>
      </c>
      <c r="M18" s="2">
        <v>2243.1697124387879</v>
      </c>
      <c r="N18" s="2">
        <v>122.46046474471112</v>
      </c>
      <c r="O18" s="2">
        <v>9533.5477535284481</v>
      </c>
      <c r="P18" s="3">
        <f>O18/O15</f>
        <v>0.50214537503512835</v>
      </c>
      <c r="Q18" s="3"/>
      <c r="R18" s="3"/>
      <c r="S18" s="3">
        <f t="shared" si="4"/>
        <v>3.0235362129845535E-2</v>
      </c>
      <c r="T18" s="3">
        <f>SUM(F18:L18)/O18</f>
        <v>0.72290417049032862</v>
      </c>
      <c r="U18" s="3">
        <f t="shared" si="5"/>
        <v>0.606431022664638</v>
      </c>
    </row>
    <row r="20" spans="1:22" x14ac:dyDescent="0.25">
      <c r="F20" s="1" t="s">
        <v>27</v>
      </c>
      <c r="G20" s="1" t="s">
        <v>5</v>
      </c>
      <c r="H20" s="1" t="s">
        <v>28</v>
      </c>
      <c r="Q20" s="1" t="s">
        <v>31</v>
      </c>
      <c r="V20" s="1" t="s">
        <v>32</v>
      </c>
    </row>
    <row r="21" spans="1:22" x14ac:dyDescent="0.25">
      <c r="A21" s="1" t="s">
        <v>24</v>
      </c>
      <c r="B21" s="1" t="s">
        <v>26</v>
      </c>
      <c r="C21" s="1">
        <v>4288</v>
      </c>
      <c r="D21" s="1">
        <v>6258</v>
      </c>
      <c r="E21" s="1">
        <v>3627</v>
      </c>
      <c r="F21" s="1">
        <v>1458</v>
      </c>
      <c r="G21" s="1">
        <v>648</v>
      </c>
      <c r="H21" s="1">
        <v>555</v>
      </c>
      <c r="L21" s="1">
        <v>724</v>
      </c>
      <c r="O21" s="1">
        <f>SUM(C21:H21,L21)</f>
        <v>17558</v>
      </c>
      <c r="Q21" s="1">
        <v>3365</v>
      </c>
      <c r="S21" s="3">
        <f>SUM(C21:E21)/O21</f>
        <v>0.80721038842692794</v>
      </c>
      <c r="T21" s="3">
        <f>SUM(F21:L21)/O21</f>
        <v>0.19278961157307212</v>
      </c>
      <c r="U21" s="3">
        <f t="shared" ref="U21:U22" si="6">SUM(F21:K21)/O21</f>
        <v>0.15155484679348444</v>
      </c>
      <c r="V21" s="4">
        <v>0.153</v>
      </c>
    </row>
    <row r="22" spans="1:22" x14ac:dyDescent="0.25">
      <c r="B22" s="1" t="s">
        <v>25</v>
      </c>
      <c r="C22" s="1">
        <v>4292</v>
      </c>
      <c r="D22" s="1">
        <v>6028</v>
      </c>
      <c r="E22" s="1">
        <v>3672</v>
      </c>
      <c r="F22" s="1">
        <v>1476</v>
      </c>
      <c r="G22" s="1">
        <v>626</v>
      </c>
      <c r="H22" s="1">
        <v>574</v>
      </c>
      <c r="L22" s="1">
        <v>794</v>
      </c>
      <c r="O22" s="1">
        <f>SUM(C22:H22,L22)</f>
        <v>17462</v>
      </c>
      <c r="Q22" s="1">
        <v>3436</v>
      </c>
      <c r="S22" s="3">
        <f>SUM(C22:E22)/O22</f>
        <v>0.8012827854770358</v>
      </c>
      <c r="T22" s="3">
        <f>SUM(F22:L22)/O22</f>
        <v>0.19871721452296415</v>
      </c>
      <c r="U22" s="3">
        <f t="shared" si="6"/>
        <v>0.153247050738747</v>
      </c>
      <c r="V22" s="4">
        <v>0.16300000000000001</v>
      </c>
    </row>
    <row r="23" spans="1:22" x14ac:dyDescent="0.25">
      <c r="C23" s="1" t="s">
        <v>30</v>
      </c>
    </row>
    <row r="25" spans="1:22" x14ac:dyDescent="0.25">
      <c r="A25" s="1" t="s">
        <v>37</v>
      </c>
      <c r="F25" s="1" t="s">
        <v>38</v>
      </c>
      <c r="L25" s="1" t="s">
        <v>35</v>
      </c>
      <c r="Q25" s="1" t="s">
        <v>33</v>
      </c>
      <c r="R25" s="1" t="s">
        <v>34</v>
      </c>
    </row>
    <row r="26" spans="1:22" x14ac:dyDescent="0.25">
      <c r="B26" s="1" t="s">
        <v>26</v>
      </c>
      <c r="F26" s="1">
        <f>SUM(F21:H21)/SUM(F21:H21,L21)*Q26</f>
        <v>1902.1802782865586</v>
      </c>
      <c r="L26" s="1">
        <f>L21/SUM(F21:H21,L21)*Q26</f>
        <v>517.54172171344169</v>
      </c>
      <c r="Q26" s="1">
        <v>2419.7220000000002</v>
      </c>
      <c r="R26" s="1">
        <v>15845.349</v>
      </c>
      <c r="T26" s="4">
        <f>Q26/R26</f>
        <v>0.15270865917816012</v>
      </c>
    </row>
    <row r="27" spans="1:22" x14ac:dyDescent="0.25">
      <c r="B27" s="1" t="s">
        <v>25</v>
      </c>
      <c r="F27" s="1">
        <f>SUM(F22:H22)/SUM(F22:H22,L22)*Q27</f>
        <v>1982.5874766570605</v>
      </c>
      <c r="L27" s="1">
        <f>L22/SUM(F22:H22,L22)*Q27</f>
        <v>588.25652334293943</v>
      </c>
      <c r="Q27" s="1">
        <v>2570.8440000000001</v>
      </c>
      <c r="R27" s="1">
        <v>15726.021000000001</v>
      </c>
      <c r="T27" s="4">
        <f>Q27/R27</f>
        <v>0.16347708043884718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AB4E-505C-9240-A4E2-DB8B89FCF9BC}">
  <dimension ref="A1:H9"/>
  <sheetViews>
    <sheetView tabSelected="1" workbookViewId="0">
      <selection activeCell="B2" sqref="B2"/>
    </sheetView>
  </sheetViews>
  <sheetFormatPr baseColWidth="10" defaultRowHeight="18" x14ac:dyDescent="0.25"/>
  <cols>
    <col min="1" max="1" width="10.83203125" style="1"/>
    <col min="2" max="2" width="20.83203125" style="1" customWidth="1"/>
    <col min="3" max="5" width="10.83203125" style="1" customWidth="1"/>
    <col min="6" max="16384" width="10.83203125" style="1"/>
  </cols>
  <sheetData>
    <row r="1" spans="1:8" x14ac:dyDescent="0.25">
      <c r="A1" s="1" t="s">
        <v>41</v>
      </c>
      <c r="B1" s="1" t="s">
        <v>44</v>
      </c>
      <c r="C1" s="1" t="s">
        <v>42</v>
      </c>
      <c r="D1" s="1" t="s">
        <v>43</v>
      </c>
      <c r="E1" s="1" t="s">
        <v>46</v>
      </c>
      <c r="F1" s="1" t="s">
        <v>40</v>
      </c>
      <c r="G1" s="1" t="s">
        <v>39</v>
      </c>
      <c r="H1" s="1" t="s">
        <v>34</v>
      </c>
    </row>
    <row r="2" spans="1:8" x14ac:dyDescent="0.25">
      <c r="A2" s="1">
        <v>2023</v>
      </c>
      <c r="B2" s="1" t="s">
        <v>24</v>
      </c>
      <c r="C2" s="1">
        <v>-1</v>
      </c>
      <c r="D2" s="1">
        <v>0</v>
      </c>
      <c r="E2" s="1">
        <v>0</v>
      </c>
      <c r="F2" s="1">
        <v>1902.1802782865586</v>
      </c>
      <c r="G2" s="1">
        <v>517.54172171344169</v>
      </c>
      <c r="H2" s="1">
        <v>15845.349</v>
      </c>
    </row>
    <row r="3" spans="1:8" x14ac:dyDescent="0.25">
      <c r="A3" s="1">
        <v>2024</v>
      </c>
      <c r="B3" s="1" t="s">
        <v>24</v>
      </c>
      <c r="C3" s="1">
        <v>0</v>
      </c>
      <c r="D3" s="1">
        <v>0</v>
      </c>
      <c r="E3" s="1">
        <v>0</v>
      </c>
      <c r="F3" s="1">
        <v>1982.5874766570605</v>
      </c>
      <c r="G3" s="1">
        <v>588.25652334293943</v>
      </c>
      <c r="H3" s="1">
        <v>15726.021000000001</v>
      </c>
    </row>
    <row r="4" spans="1:8" x14ac:dyDescent="0.25">
      <c r="A4" s="1">
        <v>2030</v>
      </c>
      <c r="B4" s="1" t="s">
        <v>45</v>
      </c>
      <c r="C4" s="1">
        <v>1</v>
      </c>
      <c r="D4" s="1">
        <v>0.15</v>
      </c>
      <c r="E4" s="1">
        <v>1</v>
      </c>
      <c r="F4" s="1">
        <v>2300.8992398230175</v>
      </c>
      <c r="G4" s="1">
        <v>1844.833144320002</v>
      </c>
      <c r="H4" s="1">
        <v>14288.684619324311</v>
      </c>
    </row>
    <row r="5" spans="1:8" x14ac:dyDescent="0.25">
      <c r="A5" s="1">
        <v>2040</v>
      </c>
      <c r="B5" s="1" t="s">
        <v>45</v>
      </c>
      <c r="C5" s="1">
        <v>2</v>
      </c>
      <c r="D5" s="1">
        <v>0.15</v>
      </c>
      <c r="E5" s="1">
        <v>1</v>
      </c>
      <c r="F5" s="1">
        <v>4431.3186130712702</v>
      </c>
      <c r="G5" s="1">
        <v>1502.3866291200022</v>
      </c>
      <c r="H5" s="1">
        <v>10563.980730381194</v>
      </c>
    </row>
    <row r="6" spans="1:8" x14ac:dyDescent="0.25">
      <c r="A6" s="1">
        <v>2050</v>
      </c>
      <c r="B6" s="1" t="s">
        <v>45</v>
      </c>
      <c r="C6" s="1">
        <v>3</v>
      </c>
      <c r="D6" s="1">
        <v>0.15</v>
      </c>
      <c r="E6" s="1">
        <v>1</v>
      </c>
      <c r="F6" s="1">
        <v>8385.0727733971416</v>
      </c>
      <c r="G6" s="1">
        <v>1110.4023167999999</v>
      </c>
      <c r="H6" s="1">
        <v>9837.775097661106</v>
      </c>
    </row>
    <row r="7" spans="1:8" x14ac:dyDescent="0.25">
      <c r="A7" s="1">
        <v>2030</v>
      </c>
      <c r="B7" s="1" t="s">
        <v>0</v>
      </c>
      <c r="C7" s="1">
        <v>1</v>
      </c>
      <c r="D7" s="1">
        <v>-0.15</v>
      </c>
      <c r="E7" s="1">
        <v>2</v>
      </c>
      <c r="F7" s="1">
        <v>2098.599895649475</v>
      </c>
      <c r="G7" s="1">
        <v>2788.3933143552026</v>
      </c>
      <c r="H7" s="1">
        <v>15393.913342015305</v>
      </c>
    </row>
    <row r="8" spans="1:8" x14ac:dyDescent="0.25">
      <c r="A8" s="1">
        <v>2040</v>
      </c>
      <c r="B8" s="1" t="s">
        <v>0</v>
      </c>
      <c r="C8" s="1">
        <v>2</v>
      </c>
      <c r="D8" s="1">
        <v>-0.15</v>
      </c>
      <c r="E8" s="1">
        <v>2</v>
      </c>
      <c r="F8" s="1">
        <v>2744.8290957418239</v>
      </c>
      <c r="G8" s="1">
        <v>2201.9209257599982</v>
      </c>
      <c r="H8" s="1">
        <v>13359.945932260098</v>
      </c>
    </row>
    <row r="9" spans="1:8" x14ac:dyDescent="0.25">
      <c r="A9" s="1">
        <v>2050</v>
      </c>
      <c r="B9" s="1" t="s">
        <v>0</v>
      </c>
      <c r="C9" s="1">
        <v>3</v>
      </c>
      <c r="D9" s="1">
        <v>-0.15</v>
      </c>
      <c r="E9" s="1">
        <v>2</v>
      </c>
      <c r="F9" s="1">
        <v>3482.2142871860924</v>
      </c>
      <c r="G9" s="1">
        <v>1547.4811519799989</v>
      </c>
      <c r="H9" s="1">
        <v>13751.204356581222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2026-07-07T07:50:17Z</dcterms:created>
  <dcterms:modified xsi:type="dcterms:W3CDTF">2026-07-07T09:38:13Z</dcterms:modified>
</cp:coreProperties>
</file>